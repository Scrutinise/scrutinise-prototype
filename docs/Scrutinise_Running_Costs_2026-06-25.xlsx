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scrutinise-prototype\docs\"/>
    </mc:Choice>
  </mc:AlternateContent>
  <xr:revisionPtr revIDLastSave="0" documentId="13_ncr:9_{C0CFE1FF-52E4-4090-9566-520A93EB0CD8}" xr6:coauthVersionLast="47" xr6:coauthVersionMax="47" xr10:uidLastSave="{00000000-0000-0000-0000-000000000000}"/>
  <bookViews>
    <workbookView xWindow="-110" yWindow="-110" windowWidth="25820" windowHeight="15620" xr2:uid="{E73F1415-65DC-43FE-822C-E9668B3753ED}"/>
  </bookViews>
  <sheets>
    <sheet name="Scrutinise_Running_Costs_2026-0" sheetId="1" r:id="rId1"/>
  </sheets>
  <calcPr calcId="0"/>
</workbook>
</file>

<file path=xl/calcChain.xml><?xml version="1.0" encoding="utf-8"?>
<calcChain xmlns="http://schemas.openxmlformats.org/spreadsheetml/2006/main">
  <c r="F15" i="1" l="1"/>
</calcChain>
</file>

<file path=xl/sharedStrings.xml><?xml version="1.0" encoding="utf-8"?>
<sst xmlns="http://schemas.openxmlformats.org/spreadsheetml/2006/main" count="102" uniqueCount="78">
  <si>
    <t>Service</t>
  </si>
  <si>
    <t>Category</t>
  </si>
  <si>
    <t>Plan_or_Tier</t>
  </si>
  <si>
    <t>Billing_model</t>
  </si>
  <si>
    <t>Currency</t>
  </si>
  <si>
    <t>Est_monthly_typical</t>
  </si>
  <si>
    <t>This_month_note</t>
  </si>
  <si>
    <t>Steady_state_est</t>
  </si>
  <si>
    <t>Cost_lever_notes</t>
  </si>
  <si>
    <t>Claude (Anthropic)</t>
  </si>
  <si>
    <t>AI / dev assistant (you + Claude Code)</t>
  </si>
  <si>
    <t>Max â€” verify</t>
  </si>
  <si>
    <t>Subscription</t>
  </si>
  <si>
    <t>GBP</t>
  </si>
  <si>
    <t>Build-heavy: intensive multi-instance sprinting</t>
  </si>
  <si>
    <t>20 (Pro) if downgraded</t>
  </si>
  <si>
    <t>BIGGEST lever by far. Pro ($20) can run the builds â€” it just paces them. Flex Max-&gt;Pro in quiet months; bump to Max only for a concentrated build push.</t>
  </si>
  <si>
    <t>Neon</t>
  </si>
  <si>
    <t>Database (Postgres â€” corpus metadata + app)</t>
  </si>
  <si>
    <t>Launch/paid 20GB â€” verify</t>
  </si>
  <si>
    <t>Subscription + usage</t>
  </si>
  <si>
    <t>USD</t>
  </si>
  <si>
    <t>Vectors (~50-70GB) will exceed the 20GB budget -&gt; store vectors in R2 / a vector store</t>
  </si>
  <si>
    <t xml:space="preserve"> not pgvector on Neon.</t>
  </si>
  <si>
    <t>Railway</t>
  </si>
  <si>
    <t>Hosting (Ingest + Ops services)</t>
  </si>
  <si>
    <t>Pro -&gt; Hobby (28 Jun)</t>
  </si>
  <si>
    <t>Pro for part of this month</t>
  </si>
  <si>
    <t>Hobby = 8GB after 28 Jun downgrade. Heavy compute must go to Hetzner not Railway.</t>
  </si>
  <si>
    <t>Vercel</t>
  </si>
  <si>
    <t>Hosting (Next.js web app)</t>
  </si>
  <si>
    <t>Hobby or Pro â€” verify</t>
  </si>
  <si>
    <t>Free on Hobby; $20/mo if on Pro. Check which you are on.</t>
  </si>
  <si>
    <t>Cloudflare R2</t>
  </si>
  <si>
    <t>Storage (corpus text + search indexes)</t>
  </si>
  <si>
    <t>Pay-as-you-go</t>
  </si>
  <si>
    <t>Usage</t>
  </si>
  <si>
    <t>~89 one-off build spike (~17M Class A writes + FTS index)</t>
  </si>
  <si>
    <t>Free tier each month: 1M writes, 10M reads, 10GB storage. Steady-state = pennies. Index rebuilds (FTS v2, vector) are deliberate write spikes â€” treat as planned spend.</t>
  </si>
  <si>
    <t>Hetzner Cloud</t>
  </si>
  <si>
    <t>Compute (transient heavy builds)</t>
  </si>
  <si>
    <t>Transient (e.g. CCX43 64GB)</t>
  </si>
  <si>
    <t>Hourly</t>
  </si>
  <si>
    <t>EUR</t>
  </si>
  <si>
    <t>0 unless a build is running</t>
  </si>
  <si>
    <t>Spin up only for index/embedding builds then kill. ~tens of EUR per build run; ~0 when idle.</t>
  </si>
  <si>
    <t>Gemini API (Google)</t>
  </si>
  <si>
    <t>AI model (Lex assistant)</t>
  </si>
  <si>
    <t>Pay-per-use</t>
  </si>
  <si>
    <t>Low while in development</t>
  </si>
  <si>
    <t>varies</t>
  </si>
  <si>
    <t>Scales with Lex usage once users are active.</t>
  </si>
  <si>
    <t>Grok (xAI)</t>
  </si>
  <si>
    <t>AI model (Lex fallback)</t>
  </si>
  <si>
    <t>Low</t>
  </si>
  <si>
    <t>Fallback only.</t>
  </si>
  <si>
    <t>Together AI</t>
  </si>
  <si>
    <t>AI model (legislation evaluator)</t>
  </si>
  <si>
    <t>Llama 4 Maverick evaluator.</t>
  </si>
  <si>
    <t>Clerk</t>
  </si>
  <si>
    <t>Authentication</t>
  </si>
  <si>
    <t>Free tier â€” verify</t>
  </si>
  <si>
    <t>Free under the monthly active-user limit at current scale.</t>
  </si>
  <si>
    <t>Resend</t>
  </si>
  <si>
    <t>Email (transactional)</t>
  </si>
  <si>
    <t>Free tier</t>
  </si>
  <si>
    <t>Free under ~3</t>
  </si>
  <si>
    <t>000 emails/month.</t>
  </si>
  <si>
    <t>Sentry</t>
  </si>
  <si>
    <t>Error monitoring</t>
  </si>
  <si>
    <t>Free / dev tier</t>
  </si>
  <si>
    <t>Free developer tier.</t>
  </si>
  <si>
    <t>Domain (scrutinise.org)</t>
  </si>
  <si>
    <t>Domain registration</t>
  </si>
  <si>
    <t>Annual</t>
  </si>
  <si>
    <t>~Â£10-12/year (~Â£1/month amortised).</t>
  </si>
  <si>
    <t>NOTE</t>
  </si>
  <si>
    <t>Figures are estimates â€” replace with your actual billed amounts as you confirm each plan. Currencies are mixed (GBP/USD/EUR); convert when totalling. Rough run-rate: ~Â£140-220 in a build-heavy month; ~Â£40/month steady-state IF Claude drops to Pro and infra settles. The single biggest variable is the Claude tier.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</si>
</sst>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303E3-C210-4040-95EC-EEF221C533C2}">
  <dimension ref="A1:J16"/>
  <sheetViews>
    <sheetView tabSelected="1" workbookViewId="0">
      <selection activeCell="D25" sqref="D25"/>
    </sheetView>
  </sheetViews>
  <sheetFormatPr defaultRowHeight="14.5" x14ac:dyDescent="0.35"/>
  <cols>
    <col min="1" max="1" width="15.54296875" customWidth="1"/>
    <col min="2" max="2" width="43.54296875" customWidth="1"/>
    <col min="3" max="3" width="29" customWidth="1"/>
    <col min="4" max="4" width="22.81640625" customWidth="1"/>
    <col min="6" max="6" width="11.7265625" customWidth="1"/>
    <col min="7" max="7" width="15.81640625" customWidth="1"/>
    <col min="8" max="8" width="19.453125" customWidth="1"/>
    <col min="9" max="9" width="3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0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80</v>
      </c>
      <c r="G2" t="s">
        <v>14</v>
      </c>
      <c r="H2" t="s">
        <v>15</v>
      </c>
      <c r="I2" t="s">
        <v>16</v>
      </c>
    </row>
    <row r="3" spans="1:10" x14ac:dyDescent="0.35">
      <c r="A3" t="s">
        <v>17</v>
      </c>
      <c r="B3" t="s">
        <v>18</v>
      </c>
      <c r="C3" t="s">
        <v>19</v>
      </c>
      <c r="D3" t="s">
        <v>20</v>
      </c>
      <c r="E3" t="s">
        <v>21</v>
      </c>
      <c r="F3">
        <v>19</v>
      </c>
      <c r="H3">
        <v>19</v>
      </c>
      <c r="I3" t="s">
        <v>22</v>
      </c>
      <c r="J3" t="s">
        <v>23</v>
      </c>
    </row>
    <row r="4" spans="1:10" x14ac:dyDescent="0.35">
      <c r="A4" t="s">
        <v>24</v>
      </c>
      <c r="B4" t="s">
        <v>25</v>
      </c>
      <c r="C4" t="s">
        <v>26</v>
      </c>
      <c r="D4" t="s">
        <v>20</v>
      </c>
      <c r="E4" t="s">
        <v>21</v>
      </c>
      <c r="F4">
        <v>20</v>
      </c>
      <c r="G4" t="s">
        <v>27</v>
      </c>
      <c r="H4">
        <v>5</v>
      </c>
      <c r="I4" t="s">
        <v>28</v>
      </c>
    </row>
    <row r="5" spans="1:10" x14ac:dyDescent="0.35">
      <c r="A5" t="s">
        <v>29</v>
      </c>
      <c r="B5" t="s">
        <v>30</v>
      </c>
      <c r="C5" t="s">
        <v>31</v>
      </c>
      <c r="D5" t="s">
        <v>12</v>
      </c>
      <c r="E5" t="s">
        <v>21</v>
      </c>
      <c r="F5">
        <v>0</v>
      </c>
      <c r="H5">
        <v>0</v>
      </c>
      <c r="I5" t="s">
        <v>32</v>
      </c>
    </row>
    <row r="6" spans="1:10" x14ac:dyDescent="0.35">
      <c r="A6" t="s">
        <v>33</v>
      </c>
      <c r="B6" t="s">
        <v>34</v>
      </c>
      <c r="C6" t="s">
        <v>35</v>
      </c>
      <c r="D6" t="s">
        <v>36</v>
      </c>
      <c r="E6" t="s">
        <v>21</v>
      </c>
      <c r="F6">
        <v>1</v>
      </c>
      <c r="G6" t="s">
        <v>37</v>
      </c>
      <c r="H6">
        <v>1</v>
      </c>
      <c r="I6" t="s">
        <v>38</v>
      </c>
    </row>
    <row r="7" spans="1:10" x14ac:dyDescent="0.35">
      <c r="A7" t="s">
        <v>39</v>
      </c>
      <c r="B7" t="s">
        <v>40</v>
      </c>
      <c r="C7" t="s">
        <v>41</v>
      </c>
      <c r="D7" t="s">
        <v>42</v>
      </c>
      <c r="E7" t="s">
        <v>43</v>
      </c>
      <c r="F7">
        <v>0</v>
      </c>
      <c r="G7" t="s">
        <v>44</v>
      </c>
      <c r="H7">
        <v>0</v>
      </c>
      <c r="I7" t="s">
        <v>45</v>
      </c>
    </row>
    <row r="8" spans="1:10" x14ac:dyDescent="0.35">
      <c r="A8" t="s">
        <v>46</v>
      </c>
      <c r="B8" t="s">
        <v>47</v>
      </c>
      <c r="C8" t="s">
        <v>48</v>
      </c>
      <c r="D8" t="s">
        <v>36</v>
      </c>
      <c r="E8" t="s">
        <v>21</v>
      </c>
      <c r="F8">
        <v>5</v>
      </c>
      <c r="G8" t="s">
        <v>49</v>
      </c>
      <c r="H8" t="s">
        <v>50</v>
      </c>
      <c r="I8" t="s">
        <v>51</v>
      </c>
    </row>
    <row r="9" spans="1:10" x14ac:dyDescent="0.35">
      <c r="A9" t="s">
        <v>52</v>
      </c>
      <c r="B9" t="s">
        <v>53</v>
      </c>
      <c r="C9" t="s">
        <v>48</v>
      </c>
      <c r="D9" t="s">
        <v>36</v>
      </c>
      <c r="E9" t="s">
        <v>21</v>
      </c>
      <c r="F9">
        <v>1</v>
      </c>
      <c r="G9" t="s">
        <v>54</v>
      </c>
      <c r="H9" t="s">
        <v>50</v>
      </c>
      <c r="I9" t="s">
        <v>55</v>
      </c>
    </row>
    <row r="10" spans="1:10" x14ac:dyDescent="0.35">
      <c r="A10" t="s">
        <v>56</v>
      </c>
      <c r="B10" t="s">
        <v>57</v>
      </c>
      <c r="C10" t="s">
        <v>48</v>
      </c>
      <c r="D10" t="s">
        <v>36</v>
      </c>
      <c r="E10" t="s">
        <v>21</v>
      </c>
      <c r="F10">
        <v>1</v>
      </c>
      <c r="G10" t="s">
        <v>54</v>
      </c>
      <c r="H10" t="s">
        <v>50</v>
      </c>
      <c r="I10" t="s">
        <v>58</v>
      </c>
    </row>
    <row r="11" spans="1:10" x14ac:dyDescent="0.35">
      <c r="A11" t="s">
        <v>59</v>
      </c>
      <c r="B11" t="s">
        <v>60</v>
      </c>
      <c r="C11" t="s">
        <v>61</v>
      </c>
      <c r="D11" t="s">
        <v>12</v>
      </c>
      <c r="E11" t="s">
        <v>21</v>
      </c>
      <c r="F11">
        <v>0</v>
      </c>
      <c r="H11">
        <v>0</v>
      </c>
      <c r="I11" t="s">
        <v>62</v>
      </c>
    </row>
    <row r="12" spans="1:10" x14ac:dyDescent="0.35">
      <c r="A12" t="s">
        <v>63</v>
      </c>
      <c r="B12" t="s">
        <v>64</v>
      </c>
      <c r="C12" t="s">
        <v>65</v>
      </c>
      <c r="D12" t="s">
        <v>12</v>
      </c>
      <c r="E12" t="s">
        <v>21</v>
      </c>
      <c r="F12">
        <v>0</v>
      </c>
      <c r="H12">
        <v>0</v>
      </c>
      <c r="I12" t="s">
        <v>66</v>
      </c>
      <c r="J12" t="s">
        <v>67</v>
      </c>
    </row>
    <row r="13" spans="1:10" x14ac:dyDescent="0.35">
      <c r="A13" t="s">
        <v>68</v>
      </c>
      <c r="B13" t="s">
        <v>69</v>
      </c>
      <c r="C13" t="s">
        <v>70</v>
      </c>
      <c r="D13" t="s">
        <v>12</v>
      </c>
      <c r="E13" t="s">
        <v>21</v>
      </c>
      <c r="F13">
        <v>0</v>
      </c>
      <c r="H13">
        <v>0</v>
      </c>
      <c r="I13" t="s">
        <v>71</v>
      </c>
    </row>
    <row r="14" spans="1:10" x14ac:dyDescent="0.35">
      <c r="A14" t="s">
        <v>72</v>
      </c>
      <c r="B14" t="s">
        <v>73</v>
      </c>
      <c r="C14" t="s">
        <v>74</v>
      </c>
      <c r="D14" t="s">
        <v>74</v>
      </c>
      <c r="E14" t="s">
        <v>13</v>
      </c>
      <c r="F14">
        <v>1</v>
      </c>
      <c r="H14">
        <v>1</v>
      </c>
      <c r="I14" t="s">
        <v>75</v>
      </c>
    </row>
    <row r="15" spans="1:10" x14ac:dyDescent="0.35">
      <c r="F15">
        <f>SUM(F2:F14)</f>
        <v>128</v>
      </c>
    </row>
    <row r="16" spans="1:10" x14ac:dyDescent="0.35">
      <c r="A16" t="s">
        <v>76</v>
      </c>
      <c r="I16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Scrutinise_Running_Costs_2026-0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Charles Leach</dc:creator>
  <cp:lastModifiedBy>Charles Leach</cp:lastModifiedBy>
  <dcterms:created xsi:type="dcterms:W3CDTF">2026-06-25T01:30:54Z</dcterms:created>
  <dcterms:modified xsi:type="dcterms:W3CDTF">2026-06-25T01:31:49Z</dcterms:modified>
</cp:coreProperties>
</file>