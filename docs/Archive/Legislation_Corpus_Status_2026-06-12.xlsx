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ode\scrutinise-prototype\scrutinise-docs\"/>
    </mc:Choice>
  </mc:AlternateContent>
  <xr:revisionPtr revIDLastSave="0" documentId="13_ncr:1_{BAE4E83D-ED1B-467A-8D5B-494144913905}" xr6:coauthVersionLast="47" xr6:coauthVersionMax="47" xr10:uidLastSave="{00000000-0000-0000-0000-000000000000}"/>
  <bookViews>
    <workbookView xWindow="-110" yWindow="-110" windowWidth="25820" windowHeight="15620" tabRatio="500" xr2:uid="{00000000-000D-0000-FFFF-FFFF00000000}"/>
  </bookViews>
  <sheets>
    <sheet name="Corpus Plan" sheetId="1" r:id="rId1"/>
    <sheet name="Corpus 12 Jun" sheetId="2" r:id="rId2"/>
    <sheet name="Quango Universe" sheetId="3" r:id="rId3"/>
    <sheet name="Sources 10 Ju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" i="1" l="1"/>
  <c r="I2" i="1"/>
  <c r="M2" i="1" s="1"/>
</calcChain>
</file>

<file path=xl/sharedStrings.xml><?xml version="1.0" encoding="utf-8"?>
<sst xmlns="http://schemas.openxmlformats.org/spreadsheetml/2006/main" count="1081" uniqueCount="571">
  <si>
    <t>Corpus / Source</t>
  </si>
  <si>
    <t>Category</t>
  </si>
  <si>
    <t>Sub-category</t>
  </si>
  <si>
    <t>Access</t>
  </si>
  <si>
    <t>IP Owner</t>
  </si>
  <si>
    <t>Ingest Method</t>
  </si>
  <si>
    <t>Priority</t>
  </si>
  <si>
    <t>Status</t>
  </si>
  <si>
    <t>Total Sections Ingested</t>
  </si>
  <si>
    <t>Total Words Ingested</t>
  </si>
  <si>
    <t>Total Size in R2</t>
  </si>
  <si>
    <t>Total Size in Neon</t>
  </si>
  <si>
    <t>% Ingested</t>
  </si>
  <si>
    <t>Est. Sections</t>
  </si>
  <si>
    <t>Est. Documents</t>
  </si>
  <si>
    <t>Any issues</t>
  </si>
  <si>
    <t>Notes</t>
  </si>
  <si>
    <t>PRIMARY LEGISLATION</t>
  </si>
  <si>
    <t>UK Primary Acts (~4,500)</t>
  </si>
  <si>
    <t>Statute</t>
  </si>
  <si>
    <t>Primary</t>
  </si>
  <si>
    <t>Open</t>
  </si>
  <si>
    <t>Crown / OGL</t>
  </si>
  <si>
    <t>TNA CLML API</t>
  </si>
  <si>
    <t>complete</t>
  </si>
  <si>
    <t>100.0%</t>
  </si>
  <si>
    <t>4,500</t>
  </si>
  <si>
    <t>UKPGA back to 1267 (Statute of Marlborough). Split pre/post-2000 across 2 workers. AS OF 10 JUN: 2000+ done (90,838/90,860); pre-2000 at 98.5% (69,630/70,714) — ~1,084-section tail. AS OF 12 JUN: pre-1963 regnal acts recovered (5,840 chrome-garbage rows replaced); 2000+ 90,838 + pre-2000 171,278.</t>
  </si>
  <si>
    <t>Statutory Instruments (~60,000)</t>
  </si>
  <si>
    <t>Secondary</t>
  </si>
  <si>
    <t>60,000</t>
  </si>
  <si>
    <t>3× section volume of Acts. Split pre/post-2010 across 2 workers. AS OF 10 JUN: si-2010plus 61,029 done; si-pre-2010 174,547/174,555. ~1,251 tail rows pending in queue.</t>
  </si>
  <si>
    <t>Retained EU Law (~4,000)</t>
  </si>
  <si>
    <t>active</t>
  </si>
  <si>
    <t>59.6%</t>
  </si>
  <si>
    <t>4,000</t>
  </si>
  <si>
    <t>Drain in progress (~76k pending), ✓ re-baseline at drain</t>
  </si>
  <si>
    <t>EU-origin instruments now on legislation.gov.uk post-Brexit.</t>
  </si>
  <si>
    <t>Scottish Acts + SSIs</t>
  </si>
  <si>
    <t>Devolved Primary+Secondary</t>
  </si>
  <si>
    <t>Scottish Parliament legislation via legislation.gov.uk. AS OF 12 JUN: regional enumeration completed — 233,492 (the 160k estimate was low).</t>
  </si>
  <si>
    <t>Welsh Acts + SIs</t>
  </si>
  <si>
    <t>see row 6</t>
  </si>
  <si>
    <t>Counted within regional corpus (row above)</t>
  </si>
  <si>
    <t>Senedd legislation.</t>
  </si>
  <si>
    <t>NI Acts + Orders</t>
  </si>
  <si>
    <t>Northern Ireland Assembly + Westminster Orders in Council.</t>
  </si>
  <si>
    <t>Local / Private Acts</t>
  </si>
  <si>
    <t>Pending</t>
  </si>
  <si>
    <t>10,000</t>
  </si>
  <si>
    <t>Lower priority – limited policy relevance.</t>
  </si>
  <si>
    <t>TAX &amp; FINANCIAL REGULATION</t>
  </si>
  <si>
    <t>Tax Legislation (Finance Acts + tax SIs)</t>
  </si>
  <si>
    <t>Tax</t>
  </si>
  <si>
    <t>120,000</t>
  </si>
  <si>
    <t>Subset of SIs. Included in SI worker allocation.</t>
  </si>
  <si>
    <t>HMRC Technical Manuals (~80 manuals)</t>
  </si>
  <si>
    <t>Administrative Guidance</t>
  </si>
  <si>
    <t>HMRC web scrape</t>
  </si>
  <si>
    <t>83.8%</t>
  </si>
  <si>
    <t>80</t>
  </si>
  <si>
    <t>hmrc-manuals: 16,061 rows done with no sections — classify (withdrawn/redirects?)</t>
  </si>
  <si>
    <t>Already compiled. VATSAG, CTM, INTM, EIM etc.  AS OF 11 JUN: manuals real universe measured at 85,197 (640k estimate was wrong); codes 14,067 + manuals 69,136 ingested.</t>
  </si>
  <si>
    <t>FCA Handbook (COBS, MAR, SYSC etc.)</t>
  </si>
  <si>
    <t>Statutory Guidance</t>
  </si>
  <si>
    <t>Financial Regulation</t>
  </si>
  <si>
    <t>FCA (Crown body)</t>
  </si>
  <si>
    <t>FCA Handbook API</t>
  </si>
  <si>
    <t>FCA publishes structured handbook. Has a rudimentary API. AS OF 10 JUN: complete via discovered JSON API — 3,661 sections.</t>
  </si>
  <si>
    <t>IBFD Tax Research Platform</t>
  </si>
  <si>
    <t>Commentary</t>
  </si>
  <si>
    <t>International Tax</t>
  </si>
  <si>
    <t>Paywalled</t>
  </si>
  <si>
    <t>IBFD (private)</t>
  </si>
  <si>
    <t>Cannot ingest</t>
  </si>
  <si>
    <t>Out of scope</t>
  </si>
  <si>
    <t>Private IP. Cannot reproduce even with subscription. Describe existence to Lex only.</t>
  </si>
  <si>
    <t>REGULATORY &amp; GUIDANCE BODIES</t>
  </si>
  <si>
    <t>Sentencing Council Guidelines</t>
  </si>
  <si>
    <t>Criminal</t>
  </si>
  <si>
    <t>Sentencing Council / Crown</t>
  </si>
  <si>
    <t>Web scrape (sentencingcouncil.gov.uk)</t>
  </si>
  <si>
    <t>12.7%</t>
  </si>
  <si>
    <t>AS OF 10 JUN: unblocked, 253/~2,000.</t>
  </si>
  <si>
    <t>College of Policing APP</t>
  </si>
  <si>
    <t>College of Policing</t>
  </si>
  <si>
    <t>Web scrape</t>
  </si>
  <si>
    <t>24.3%</t>
  </si>
  <si>
    <t>Authorised Professional Practice.</t>
  </si>
  <si>
    <t>PACE Codes</t>
  </si>
  <si>
    <t>gov.uk direct download</t>
  </si>
  <si>
    <t>800</t>
  </si>
  <si>
    <t>Small volume; bundle with Sentencing Council worker.</t>
  </si>
  <si>
    <t>Civil Service / Ministerial Codes, Cabinet Manual</t>
  </si>
  <si>
    <t>Governance</t>
  </si>
  <si>
    <t>500</t>
  </si>
  <si>
    <t>Cabinet Manual, Ministerial Code, Civil Service Code, Better Regulation Framework.</t>
  </si>
  <si>
    <t>Treasury Green Book + Magenta Book</t>
  </si>
  <si>
    <t>Policy Methodology</t>
  </si>
  <si>
    <t>Cost-benefit and evaluation frameworks. Essential for costing module.</t>
  </si>
  <si>
    <t>Erskine May + Parliamentary Standing Orders</t>
  </si>
  <si>
    <t>Parliamentary Procedure</t>
  </si>
  <si>
    <t>Partial</t>
  </si>
  <si>
    <t>Parliament</t>
  </si>
  <si>
    <t>parliament.uk (partial open access)</t>
  </si>
  <si>
    <t>3,000</t>
  </si>
  <si>
    <t>Erskine May now free online. Standing Orders open. Full historic volumes paywalled.</t>
  </si>
  <si>
    <t>NHS Standard Contracts + NHSE Guidance</t>
  </si>
  <si>
    <t>Health</t>
  </si>
  <si>
    <t>NHSE web scrape</t>
  </si>
  <si>
    <t>20,000</t>
  </si>
  <si>
    <t>Planning Policy (NPPF, PPG)</t>
  </si>
  <si>
    <t>Planning</t>
  </si>
  <si>
    <t>15.8%</t>
  </si>
  <si>
    <t>National Planning Policy Framework + Planning Practice Guidance.</t>
  </si>
  <si>
    <t>Building Regulations Approved Documents</t>
  </si>
  <si>
    <t>Building / Safety</t>
  </si>
  <si>
    <t>26.4%</t>
  </si>
  <si>
    <t>CMA Guidelines + Merger Decisions</t>
  </si>
  <si>
    <t>Competition</t>
  </si>
  <si>
    <t>CMA / Crown</t>
  </si>
  <si>
    <t>CMA website scrape</t>
  </si>
  <si>
    <t>8,000</t>
  </si>
  <si>
    <t>Ofcom / Ofwat / Ofgem / Ofsted Rules</t>
  </si>
  <si>
    <t>Regulation</t>
  </si>
  <si>
    <t>Crown bodies</t>
  </si>
  <si>
    <t>Individual regulator APIs / scrape</t>
  </si>
  <si>
    <t>40,000</t>
  </si>
  <si>
    <t>Each regulator has its own site; 4 separate scrapers needed.</t>
  </si>
  <si>
    <t>Other Quango Rulebooks (~466 quangos)</t>
  </si>
  <si>
    <t>Web scrape (varied)</t>
  </si>
  <si>
    <t>200,000</t>
  </si>
  <si>
    <t>Large long-tail. Automate discovery via gov.uk quango list.</t>
  </si>
  <si>
    <t>LEGAL SCHOLARSHIP &amp; COMMENTARY</t>
  </si>
  <si>
    <t>HMRC Tax Information and Impact Notes (TIINs)</t>
  </si>
  <si>
    <t>Explanatory</t>
  </si>
  <si>
    <t>Tax Policy</t>
  </si>
  <si>
    <t>gov.uk scrape</t>
  </si>
  <si>
    <t>~2,500</t>
  </si>
  <si>
    <t>Published for every Finance Bill measure since 2010. Plain English explanation of policy intent behind each tax provision. Distinct from HMRC manuals. AS OF 10 JUN: complete.</t>
  </si>
  <si>
    <t>Office of Tax Simplification Reports</t>
  </si>
  <si>
    <t>~50</t>
  </si>
  <si>
    <t>OTS abolished 2022 but all reports archived on gov.uk. Detailed analysis of specific tax areas (IHT, CGT, employment status). Explains what's broken and why.</t>
  </si>
  <si>
    <t>Scottish Law Commission Reports</t>
  </si>
  <si>
    <t>Law Reform</t>
  </si>
  <si>
    <t>scotlawcom.gov.uk scrape</t>
  </si>
  <si>
    <t>~200</t>
  </si>
  <si>
    <t>Scots law analysis and reform recommendations. Essential for devolved legislation. Separate from Law Commission (E&amp;W) already in plan.</t>
  </si>
  <si>
    <t>Northern Ireland Law Commission Reports</t>
  </si>
  <si>
    <t>nilawcommission.gov.uk scrape</t>
  </si>
  <si>
    <t>34.0%</t>
  </si>
  <si>
    <t>~30</t>
  </si>
  <si>
    <t>NI-specific law reform analysis. Smaller volume but important for NI-specific legislation. AS OF 10 JUN: unblocked, 17/~50.</t>
  </si>
  <si>
    <t>SSRN UK Legal Scholarship (free tier)</t>
  </si>
  <si>
    <t>Academic</t>
  </si>
  <si>
    <t>Authors / Open Access</t>
  </si>
  <si>
    <t>SSRN API (api.ssrn.com)</t>
  </si>
  <si>
    <t>blocked</t>
  </si>
  <si>
    <t>~15,000</t>
  </si>
  <si>
    <t>Blocked — cause not yet investigated</t>
  </si>
  <si>
    <t>Open-access legal scholarship on UK law. Papers on drafting history, policy intent, judicial interpretation. No rate limit on SSRN API. Abstracts free; full text varies.</t>
  </si>
  <si>
    <t>PARLIAMENTARY RECORD</t>
  </si>
  <si>
    <t>Hansard – Commons (1803–present)</t>
  </si>
  <si>
    <t>Parliamentary</t>
  </si>
  <si>
    <t>Debates</t>
  </si>
  <si>
    <t>Crown / Parliament / OGL</t>
  </si>
  <si>
    <t>Parliament API (api.parliament.uk)</t>
  </si>
  <si>
    <t>~250,000 debates</t>
  </si>
  <si>
    <t>Workers 1+2 join after Acts complete. Commons debates only.  AS OF 11 JUN: per-speech migration complete — 6.30M sections. Plus historic-hansard 1803-1918 ingesting (734,807/~850,000 at 23:02) and Lords 1919-1999 identified as V22 gap.</t>
  </si>
  <si>
    <t>Hansard – Lords (1803–present)</t>
  </si>
  <si>
    <t>Parliament API</t>
  </si>
  <si>
    <t>Lords 1919-1999 gap newly identified — bulk archive holds it; V22 candidate</t>
  </si>
  <si>
    <t>Workers 3+4 join after SIs complete.  AS OF 11 JUN: per-speech — 742,876 sections. (+ Westminster Hall 237,135 [98.2%] tracked separately in Queue Snapshot.)</t>
  </si>
  <si>
    <t>Bill Pages (text at each stage)</t>
  </si>
  <si>
    <t>Bills</t>
  </si>
  <si>
    <t>Parliament API + bills.parliament.uk</t>
  </si>
  <si>
    <t>Full text, explanatory notes, impact assessments at each reading.</t>
  </si>
  <si>
    <t>Committee Reports (Select + Public Bill)</t>
  </si>
  <si>
    <t>Committees</t>
  </si>
  <si>
    <t>0.0%</t>
  </si>
  <si>
    <t>~15,000 reports</t>
  </si>
  <si>
    <t>Railway IP fails Cloudflare even with curl (V18 confirmed). New route: official Committees API (committees-api.parliament.uk) — research in progress</t>
  </si>
  <si>
    <t>Pre/post-legislative scrutiny. Evidence sessions. Witness lists.</t>
  </si>
  <si>
    <t>Parliamentary Written Answers</t>
  </si>
  <si>
    <t>Written Answers</t>
  </si>
  <si>
    <t>~62%</t>
  </si>
  <si>
    <t>~500,000</t>
  </si>
  <si>
    <t>50 day-files failed (503/internal) — reset &amp; rerun; denominators are era-average estimates, re-baseline after retry</t>
  </si>
  <si>
    <t>Every written answer since 2000. Minister's own interpretation of legislation at point in time. Invaluable for "what does this provision mean in practice".  AS OF 11 JUN: per-speech — wrans 1,219,784 + lordswrans 171,619.</t>
  </si>
  <si>
    <t>Written Ministerial Statements</t>
  </si>
  <si>
    <t>Ministerial Statements</t>
  </si>
  <si>
    <t>exceeds est</t>
  </si>
  <si>
    <t>~20,000</t>
  </si>
  <si>
    <t>Denominator (17,487) predates per-speech regrade — re-baseline</t>
  </si>
  <si>
    <t>Formal statements made outside oral questions. Policy intent and interpretation direct from Ministers.  AS OF 11 JUN: wms 23,676 + lordswms 20,729 + written-statements 129.</t>
  </si>
  <si>
    <t>Explanatory Notes (Acts + SIs)</t>
  </si>
  <si>
    <t>legislation.gov.uk API</t>
  </si>
  <si>
    <t>Plain English intent statements. Available since late 1990s.</t>
  </si>
  <si>
    <t>Impact Assessments</t>
  </si>
  <si>
    <t>Policy Evidence</t>
  </si>
  <si>
    <t>gov.uk / legislation.gov.uk</t>
  </si>
  <si>
    <t>Problem statement, counterfactuals, cost-benefit, intended outcomes. Gold for 'what were they solving'.</t>
  </si>
  <si>
    <t>Post-Legislative Memoranda</t>
  </si>
  <si>
    <t>Patchy. 3–5 yr post-Act self-assessment. House of Commons Library tracks compliance.</t>
  </si>
  <si>
    <t>White Papers + Green Papers (Command Papers)</t>
  </si>
  <si>
    <t>gov.uk + UK Parliamentary Papers</t>
  </si>
  <si>
    <t>Policy intent before legislation. Royal Commission reports included.</t>
  </si>
  <si>
    <t>House of Commons Library Briefings</t>
  </si>
  <si>
    <t>Parliament / OGL</t>
  </si>
  <si>
    <t>commonslibrary.parliament.uk</t>
  </si>
  <si>
    <t>Plain-English pre-Bill summaries. Exemplary research quality. Academic and stakeholder views.</t>
  </si>
  <si>
    <t>The Public Whip (MP voting records)</t>
  </si>
  <si>
    <t>Voting</t>
  </si>
  <si>
    <t>Public Whip (charity)</t>
  </si>
  <si>
    <t>publicwhip.org.uk API</t>
  </si>
  <si>
    <t>Tracks every division vote. 'Who pushed this through / who opposed it'.</t>
  </si>
  <si>
    <t>PUBLIC CONSULTATIONS &amp; EVIDENCE</t>
  </si>
  <si>
    <t>Government Public Consultations + Responses</t>
  </si>
  <si>
    <t>Consultation</t>
  </si>
  <si>
    <t>gov.uk Consultation hub API</t>
  </si>
  <si>
    <t>Consultation documents + response summaries. Shows what stakeholders said before legislation passed. gov.uk has a structured consultations listing.</t>
  </si>
  <si>
    <t>ONS Statistical Datasets (cited in IAs)</t>
  </si>
  <si>
    <t>Statistics</t>
  </si>
  <si>
    <t>ONS / Crown / OGL</t>
  </si>
  <si>
    <t>ONS API (api.ons.gov.uk)</t>
  </si>
  <si>
    <t>Evidence base behind Impact Assessments. Metadata + headline figures rather than full datasets.</t>
  </si>
  <si>
    <t>NAO Reports (post-implementation VFM)</t>
  </si>
  <si>
    <t>Audit</t>
  </si>
  <si>
    <t>NAO / Crown</t>
  </si>
  <si>
    <t>nao.org.uk scrape</t>
  </si>
  <si>
    <t>Client returns 0 sections — root cause not investigated</t>
  </si>
  <si>
    <t>Post-implementation value-for-money assessments. 'Did it work and at what cost?'</t>
  </si>
  <si>
    <t>CASE LAW</t>
  </si>
  <si>
    <t>Find Case Law – TNA (2001–present)</t>
  </si>
  <si>
    <t>Judicial</t>
  </si>
  <si>
    <t>Case Law</t>
  </si>
  <si>
    <t>Crown / Open Justice Licence</t>
  </si>
  <si>
    <t>TNA Find Case Law API (caselaw.nationalarchives.gov.uk)</t>
  </si>
  <si>
    <t>~50,000+</t>
  </si>
  <si>
    <t>Official source. Structured API. High Court, CoA, Supreme Court, Upper Tribunals. Open Justice Licence permits bulk reuse. Plus et-decisions 293,399 ✓, tax-tribunals 12,089/13,037, ni-judgments active, scottish-courts blocked (auth key — Charlie devtools task).</t>
  </si>
  <si>
    <t>BAILII – full corpus (pre-2003 + tribunals)</t>
  </si>
  <si>
    <t>Crown / OGL (judgments); BAILII own copyright in HTML markup only</t>
  </si>
  <si>
    <t>BAILII web scrape (polite, 1000ms floor)</t>
  </si>
  <si>
    <t>~600,000</t>
  </si>
  <si>
    <t>Re-point planned: EAT/UT/FtT via Find Case Law + gov.uk ET decisions; BAILII contact found (Hale/Bell_West) — donation + access request; NI via judiciaryni.uk, Scotland via scotcourts.gov.uk</t>
  </si>
  <si>
    <t>Separate organisation from TNA – independent IP rate limit. Text of judgments: Crown copyright / OGL. BAILII's HTML markup: BAILII copyright (we compile text, not markup). Covers: EAT back to 1970s, Privy Council, Scottish courts, NI courts, tribunals, ECHR cases.</t>
  </si>
  <si>
    <t>Leading Cases – curated ~10,000</t>
  </si>
  <si>
    <t>BAILII / TNA (subset)</t>
  </si>
  <si>
    <t>50,000</t>
  </si>
  <si>
    <t>Priority subset for early Lex search quality. Use Gemini for richer case summary.</t>
  </si>
  <si>
    <t>ECHR / ECtHR Judgments (HUDOC)</t>
  </si>
  <si>
    <t>International Case Law</t>
  </si>
  <si>
    <t>Council of Europe</t>
  </si>
  <si>
    <t>HUDOC API (hudoc.echr.coe.int)</t>
  </si>
  <si>
    <t>HUDOC API endpoint changed Jun 2026 — /app/query/results returns 404; needs endpoint re-discovery</t>
  </si>
  <si>
    <t>Separate source / separate IP / separate rate limit → own worker. UK courts must consider under HRA 1998.</t>
  </si>
  <si>
    <t>Law Commission Reports</t>
  </si>
  <si>
    <t>Judicial / Explanatory</t>
  </si>
  <si>
    <t>Law Commission / Crown</t>
  </si>
  <si>
    <t>BAILII + lawcom.gov.uk</t>
  </si>
  <si>
    <t>Formal analysis of why current law is broken + reform recommendations. Already on BAILII.</t>
  </si>
  <si>
    <t>INTERNATIONAL &amp; COMPARATIVE</t>
  </si>
  <si>
    <t>UK Treaties (FCO Treaties Online)</t>
  </si>
  <si>
    <t>International</t>
  </si>
  <si>
    <t>Treaties</t>
  </si>
  <si>
    <t>gov.uk FCO treaty database</t>
  </si>
  <si>
    <t>URLSearchParams fix applied but still 0 sections; needs queue reset + investigation</t>
  </si>
  <si>
    <t>International obligations that constrain what UK legislation can do. Back to 1892.</t>
  </si>
  <si>
    <t>EU Law – EUR-Lex (retained EU law origins)</t>
  </si>
  <si>
    <t>EU Law</t>
  </si>
  <si>
    <t>EU Publications Office (open)</t>
  </si>
  <si>
    <t>EUR-Lex API (eur-lex.europa.eu)</t>
  </si>
  <si>
    <t>4,000 instruments</t>
  </si>
  <si>
    <t>Source directives/regulations behind retained EU law. Separate source / separate rate limit. AS OF 10 JUN: eur-lex corpus complete — 90,260 sections.</t>
  </si>
  <si>
    <t>OECD iLibrary – free summaries</t>
  </si>
  <si>
    <t>Policy Commentary</t>
  </si>
  <si>
    <t>OECD</t>
  </si>
  <si>
    <t>OECD iLibrary (free tier)</t>
  </si>
  <si>
    <t>101.0%</t>
  </si>
  <si>
    <t>OECD Model Tax Convention commentary (full text paywalled). Free summaries and working papers ingestible. Full text requires negotiation / licence.</t>
  </si>
  <si>
    <t>OECD Model Tax Convention Commentary</t>
  </si>
  <si>
    <t>OECD (private publication)</t>
  </si>
  <si>
    <t>Cannot bulk ingest</t>
  </si>
  <si>
    <t>OECD owns IP. Subscription gives read access only – no redistribution. Lex can reference existence and direct users to OECD iLibrary.</t>
  </si>
  <si>
    <t>UN / UNCITRAL</t>
  </si>
  <si>
    <t>International Law</t>
  </si>
  <si>
    <t>UN (open)</t>
  </si>
  <si>
    <t>UNCITRAL website</t>
  </si>
  <si>
    <t>International trade law conventions. Lower priority for UK policy platform.</t>
  </si>
  <si>
    <t>All UK International and multilateral treaties (ECHR, UNCLOS and about 15,000 others)</t>
  </si>
  <si>
    <t>COMMERCIAL / PAYWALLED – REFERENCE ONLY</t>
  </si>
  <si>
    <t>Halsbury's Laws of England</t>
  </si>
  <si>
    <t>Legal Encyclopedia</t>
  </si>
  <si>
    <t>LexisNexis (Reed Elsevier) – private IP</t>
  </si>
  <si>
    <t>—</t>
  </si>
  <si>
    <t>Written by experts under commission. LexisNexis owns copyright in the commentary text itself (not just the platform). Subscription gives read access only. Even reproducing summaries at scale would require a licence. Lex can note 'Halsbury's covers this area' without reproducing content. Future: potential API partner / sponsorship route.</t>
  </si>
  <si>
    <t>Westlaw UK headnotes + Key Number System</t>
  </si>
  <si>
    <t>Case Annotation</t>
  </si>
  <si>
    <t>Thomson Reuters – private IP</t>
  </si>
  <si>
    <t>Thomson Reuters v ROSS (2025) confirmed headnotes are copyrightable editorial content. Underlying case text is Crown copyright / OGL and freely available via TNA. Only the annotations are paywalled. Future: potential API partner / sponsorship route — Scrutinise drives qualified traffic to their platform.</t>
  </si>
  <si>
    <t>LexisNexis All England Law Reports</t>
  </si>
  <si>
    <t>Case Reports</t>
  </si>
  <si>
    <t>LexisNexis – private IP</t>
  </si>
  <si>
    <t>Headnotes and editorial notes are LexisNexis IP. Raw judgment text is Crown copyright / free via BAILII/TNA. Future: potential API partner / sponsorship route.</t>
  </si>
  <si>
    <t>HeinOnline Law Journal Library</t>
  </si>
  <si>
    <t>Academic Journals</t>
  </si>
  <si>
    <t>William S. Hein (private)</t>
  </si>
  <si>
    <t>3,200+ journals. Journal articles have dual copyright: journal publisher + author. Some older titles have open-access back-issues. Lex can cite article existence via CrossRef metadata.</t>
  </si>
  <si>
    <t>IBFD International Tax Platform</t>
  </si>
  <si>
    <t>Private IP. No bulk access even with subscription.</t>
  </si>
  <si>
    <t>Updated 12 Jun 2026 23:02 BST. Corpus: 11,949,946 sections (96.7% of enumerated ~12.36M; honest-denominator incl. placeholders =&gt; 88-97% band as placeholders resolve). Neon 11GB/20GB. Word counts: CC backfill task V22 (R2 byte-sum). See sheets: Corpus 12 Jun (full per-corpus), Quango Universe (V22 triage).</t>
  </si>
  <si>
    <t>Complete / Active / Pending / Blocked / Stalled / Out of Scope</t>
  </si>
  <si>
    <t>Corpus</t>
  </si>
  <si>
    <t>Sections</t>
  </si>
  <si>
    <t>Est. total</t>
  </si>
  <si>
    <t>%</t>
  </si>
  <si>
    <t>State / note</t>
  </si>
  <si>
    <t>pwdata-debates</t>
  </si>
  <si>
    <t>100%</t>
  </si>
  <si>
    <t>✓</t>
  </si>
  <si>
    <t>pwdata-wrans</t>
  </si>
  <si>
    <t>pwdata-lords</t>
  </si>
  <si>
    <t>✓ (1919-1999 Lords = separate V22 gap)</t>
  </si>
  <si>
    <t>historic-hansard 1803-1918</t>
  </si>
  <si>
    <t>86.4%</t>
  </si>
  <si>
    <t>ACTIVE — grinding; 169 missing volumes → V22 HTML gap-fill</t>
  </si>
  <si>
    <t>et-decisions</t>
  </si>
  <si>
    <t>pwdata-westminster</t>
  </si>
  <si>
    <t>regional (Scot/Wal/NI legislation)</t>
  </si>
  <si>
    <t>✓ enumeration completed V21</t>
  </si>
  <si>
    <t>pwdata-lordswrans</t>
  </si>
  <si>
    <t>si-pre-2010</t>
  </si>
  <si>
    <t>primary-acts-pre-2000</t>
  </si>
  <si>
    <t>✓ incl. regnal recovery</t>
  </si>
  <si>
    <t>primary-acts-2000plus</t>
  </si>
  <si>
    <t>eur-lex</t>
  </si>
  <si>
    <t>retained-eu</t>
  </si>
  <si>
    <t>draining (~76k pending)</t>
  </si>
  <si>
    <t>tna-caselaw</t>
  </si>
  <si>
    <t>lda-commonsoralquestions</t>
  </si>
  <si>
    <t>hmrc-manuals</t>
  </si>
  <si>
    <t>si-2010plus</t>
  </si>
  <si>
    <t>✓ (+17 enum tail)</t>
  </si>
  <si>
    <t>committees-evidence</t>
  </si>
  <si>
    <t>6.3%</t>
  </si>
  <si>
    <t>breaker tripped at deep pagination — V22 repair; 10,120 blocked</t>
  </si>
  <si>
    <t>committees-reports</t>
  </si>
  <si>
    <t>4.6%</t>
  </si>
  <si>
    <t>47,593 blocked behind same breaker</t>
  </si>
  <si>
    <t>pwdata-wms + lordswms</t>
  </si>
  <si>
    <t>hmrc-codes-guidance</t>
  </si>
  <si>
    <t>tax-tribunals</t>
  </si>
  <si>
    <t>92.7%</t>
  </si>
  <si>
    <t>tail</t>
  </si>
  <si>
    <t>explanatory-memoranda</t>
  </si>
  <si>
    <t>0%</t>
  </si>
  <si>
    <t>pending in queue</t>
  </si>
  <si>
    <t>lda divisions (both houses)</t>
  </si>
  <si>
    <t>uk-treaties + tax-treaties-dta</t>
  </si>
  <si>
    <t>fca-handbook</t>
  </si>
  <si>
    <t>✓ licence flag — Charlie reading</t>
  </si>
  <si>
    <t>nao-reports</t>
  </si>
  <si>
    <t>93.3%</t>
  </si>
  <si>
    <t>unblocked V20, tail</t>
  </si>
  <si>
    <t>ni-judgments</t>
  </si>
  <si>
    <t>31.8%</t>
  </si>
  <si>
    <t>breaker tripped — V22 repair</t>
  </si>
  <si>
    <t>explanatory-notes</t>
  </si>
  <si>
    <t>quangos-govuk</t>
  </si>
  <si>
    <t>MEASURED V21 — triage on Quango Universe sheet</t>
  </si>
  <si>
    <t>bills-api</t>
  </si>
  <si>
    <t>placeholder</t>
  </si>
  <si>
    <t>echr-hudoc</t>
  </si>
  <si>
    <t>V20 found live routes — V22 revival</t>
  </si>
  <si>
    <t>scottish-courts</t>
  </si>
  <si>
    <t>blocked: auth key — Charlie devtools XHR task</t>
  </si>
  <si>
    <t>college-of-policing</t>
  </si>
  <si>
    <t>blocked: CF + licence unverified</t>
  </si>
  <si>
    <t>ssrn</t>
  </si>
  <si>
    <t>parked: licence-hostile</t>
  </si>
  <si>
    <t>financial-corpus</t>
  </si>
  <si>
    <t>unsized placeholder</t>
  </si>
  <si>
    <t>lawcom + scotlawcom + nilawcom + ots + oecd + misc small</t>
  </si>
  <si>
    <t>✓ (building-regs, planning-policy, govuk-core, hmrc-ancillary, sentencing incl.)</t>
  </si>
  <si>
    <t>TOTAL</t>
  </si>
  <si>
    <t>96.7%</t>
  </si>
  <si>
    <t>of enumerated universe; = 914,274 legacy + 11,035,672 new pipeline. Words: CC backfill pending.</t>
  </si>
  <si>
    <t>QUANGO UNIVERSE — measured V21 (gov.uk Organisations register: 1,255 orgs = 348 live, 590 closed, 300 exempt, 17 other). Relevant docs: 162,004 (135,284 live). Proposed tiers below — CONFIRM BEFORE V22 SEEDS.</t>
  </si>
  <si>
    <t>Tier</t>
  </si>
  <si>
    <t>Organisation</t>
  </si>
  <si>
    <t>Body type</t>
  </si>
  <si>
    <t>Relevant docs</t>
  </si>
  <si>
    <t>Stat. guidance</t>
  </si>
  <si>
    <t>Guidance</t>
  </si>
  <si>
    <t>Decisions</t>
  </si>
  <si>
    <t>Note</t>
  </si>
  <si>
    <t>T1</t>
  </si>
  <si>
    <t>Military Aviation Authority</t>
  </si>
  <si>
    <t>Sub organisation</t>
  </si>
  <si>
    <t>live</t>
  </si>
  <si>
    <t>Company Names Tribunal</t>
  </si>
  <si>
    <t>Other</t>
  </si>
  <si>
    <t>decision-rich (case-law-like)</t>
  </si>
  <si>
    <t>Office of the Schools Adjudicator</t>
  </si>
  <si>
    <t>Environment Agency</t>
  </si>
  <si>
    <t>Executive non-departmental public body</t>
  </si>
  <si>
    <t>Teaching Regulation Agency</t>
  </si>
  <si>
    <t>Executive agency</t>
  </si>
  <si>
    <t>Intellectual Property Office</t>
  </si>
  <si>
    <t>Ofqual</t>
  </si>
  <si>
    <t>Non-ministerial department</t>
  </si>
  <si>
    <t>Maritime and Coastguard Agency</t>
  </si>
  <si>
    <t>Rural Payments Agency</t>
  </si>
  <si>
    <t>UK Visas and Immigration</t>
  </si>
  <si>
    <t>Traffic Commissioners for Great Britain</t>
  </si>
  <si>
    <t>Tribunal</t>
  </si>
  <si>
    <t>Central Arbitration Committee</t>
  </si>
  <si>
    <t>UK Health Security Agency</t>
  </si>
  <si>
    <t>Medicines and Healthcare products Regulatory Agency</t>
  </si>
  <si>
    <t>Natural England</t>
  </si>
  <si>
    <t>Advisory Committee on Business Appointments</t>
  </si>
  <si>
    <t>Advisory non-departmental public body</t>
  </si>
  <si>
    <t>Certification Officer</t>
  </si>
  <si>
    <t>Marine Management Organisation</t>
  </si>
  <si>
    <t>Driver and Vehicle Standards Agency</t>
  </si>
  <si>
    <t>Welsh Government</t>
  </si>
  <si>
    <t>Devolved government</t>
  </si>
  <si>
    <t>exempt</t>
  </si>
  <si>
    <t>T2</t>
  </si>
  <si>
    <t>NHS England</t>
  </si>
  <si>
    <t>Regulator of Social Housing</t>
  </si>
  <si>
    <t>HM Passport Office</t>
  </si>
  <si>
    <t>The Scottish Government</t>
  </si>
  <si>
    <t>Competition and Markets Authority</t>
  </si>
  <si>
    <t>Animal and Plant Health Agency</t>
  </si>
  <si>
    <t>Office of Financial Sanctions Implementation</t>
  </si>
  <si>
    <t>Export Control Joint Unit</t>
  </si>
  <si>
    <t>HM Prison and Probation Service</t>
  </si>
  <si>
    <t>Office for Product Safety and Standards</t>
  </si>
  <si>
    <t>The Insolvency Service</t>
  </si>
  <si>
    <t>The Charity Commission</t>
  </si>
  <si>
    <t>HM Courts &amp; Tribunals Service</t>
  </si>
  <si>
    <t>Defence Infrastructure Organisation</t>
  </si>
  <si>
    <t>Standards and Testing Agency</t>
  </si>
  <si>
    <t>Forestry Commission</t>
  </si>
  <si>
    <t>High Speed Two (HS2) Limited</t>
  </si>
  <si>
    <t>Parole Board</t>
  </si>
  <si>
    <t>HM Land Registry</t>
  </si>
  <si>
    <t>Single Source Regulations Office</t>
  </si>
  <si>
    <t>Ofsted</t>
  </si>
  <si>
    <t>Homes England</t>
  </si>
  <si>
    <t>Government Digital Service</t>
  </si>
  <si>
    <t>Forensic Science Regulator</t>
  </si>
  <si>
    <t>Immigration Enforcement</t>
  </si>
  <si>
    <t>Government Actuary's Department</t>
  </si>
  <si>
    <t>Planning Inspectorate</t>
  </si>
  <si>
    <t>Office for Health Improvement and Disparities</t>
  </si>
  <si>
    <t>Immigration Advice Authority</t>
  </si>
  <si>
    <t>Legal Aid Agency</t>
  </si>
  <si>
    <t>Air Accidents Investigation Branch</t>
  </si>
  <si>
    <t>Companies House</t>
  </si>
  <si>
    <t>Student Loans Company</t>
  </si>
  <si>
    <t>Office for Responsible Business Conduct</t>
  </si>
  <si>
    <t>joining</t>
  </si>
  <si>
    <t>UK National Contact Point</t>
  </si>
  <si>
    <t>UK Space Agency</t>
  </si>
  <si>
    <t>Government Legal Department</t>
  </si>
  <si>
    <t>Government Office for Science</t>
  </si>
  <si>
    <t>Veterinary Medicines Directorate</t>
  </si>
  <si>
    <t>Civil Procedure Rule Committee</t>
  </si>
  <si>
    <t>T2*</t>
  </si>
  <si>
    <t>Ministerial departments (24 live)</t>
  </si>
  <si>
    <t>guidance/policy heavy — seed selected formats only (statutory_guidance, regulation, manual) to avoid policy noise</t>
  </si>
  <si>
    <t>T3</t>
  </si>
  <si>
    <t>Closed organisations (590)</t>
  </si>
  <si>
    <t>closed</t>
  </si>
  <si>
    <t>historic value; defer</t>
  </si>
  <si>
    <t>HMRC</t>
  </si>
  <si>
    <t>Non-ministerial</t>
  </si>
  <si>
    <t>EXCLUDED — already ingested via hmrc-* corpora</t>
  </si>
  <si>
    <t>Exempt orgs (300, external sites)</t>
  </si>
  <si>
    <t>unsized</t>
  </si>
  <si>
    <t>FCA-pattern; per-source adapters; NOT in the 162k</t>
  </si>
  <si>
    <t>Source (provider)</t>
  </si>
  <si>
    <t>Access type used</t>
  </si>
  <si>
    <t>Other access types available</t>
  </si>
  <si>
    <t>Working?</t>
  </si>
  <si>
    <t>Remaining workload</t>
  </si>
  <si>
    <t>Why not producing / blocker</t>
  </si>
  <si>
    <t>Action</t>
  </si>
  <si>
    <t>TNA legislation.gov.uk</t>
  </si>
  <si>
    <t>Bulk download + CLML XML</t>
  </si>
  <si>
    <t>HTML, PDF fallback chain; research.legislation.gov.uk bulk (pre-release access granted)</t>
  </si>
  <si>
    <t>YES</t>
  </si>
  <si>
    <t>Small: acts/SI tails, regional 23%, local/private acts unseeded, explanatory notes unseeded, effects feed deferred</t>
  </si>
  <si>
    <t>Nearly exhausted — this is success, not failure</t>
  </si>
  <si>
    <t>Finish tails; seed local/private acts + explanatory notes when queue refilled</t>
  </si>
  <si>
    <t>TNA Find Case Law</t>
  </si>
  <si>
    <t>API</t>
  </si>
  <si>
    <t>Bulk via API pagination</t>
  </si>
  <si>
    <t>~270 sections (99.6% done)</t>
  </si>
  <si>
    <t>Let it finish</t>
  </si>
  <si>
    <t>TheyWorkForYou pwdata</t>
  </si>
  <si>
    <t>Bulk XML download</t>
  </si>
  <si>
    <t>~3M+ sections (debates, lords, wrans, wms, westminster) — THE largest available workload</t>
  </si>
  <si>
    <t>Source works; historical backlog was never seeded. Queue starvation, not source failure</t>
  </si>
  <si>
    <t>SEED THE BACKLOG — single highest-value action available</t>
  </si>
  <si>
    <t>Parliament LDA API</t>
  </si>
  <si>
    <t>~470 rows (oral questions tail)</t>
  </si>
  <si>
    <t>Let it finish; written questions retired (covered by pwdata)</t>
  </si>
  <si>
    <t>FCA Handbook</t>
  </si>
  <si>
    <t>JSON API</t>
  </si>
  <si>
    <t>HTML</t>
  </si>
  <si>
    <t>DONE</t>
  </si>
  <si>
    <t>0</t>
  </si>
  <si>
    <t>HMRC gov.uk</t>
  </si>
  <si>
    <t>HTML scrape</t>
  </si>
  <si>
    <t>gov.uk bulk pages</t>
  </si>
  <si>
    <t>~626k est (full-depth manuals never seeded)</t>
  </si>
  <si>
    <t>Codes/TIINs complete; manuals seeding never run</t>
  </si>
  <si>
    <t>Seed full-depth manuals</t>
  </si>
  <si>
    <t>EUR-Lex</t>
  </si>
  <si>
    <t>Bulk download service</t>
  </si>
  <si>
    <t>0 (90,260 done)</t>
  </si>
  <si>
    <t>gov.uk direct downloads</t>
  </si>
  <si>
    <t>Direct download</t>
  </si>
  <si>
    <t>YES (method proven)</t>
  </si>
  <si>
    <t>Small corpora: PACE, Green Book, codes, Cabinet Manual, white papers — all unseeded</t>
  </si>
  <si>
    <t>Never seeded</t>
  </si>
  <si>
    <t>Cheap wins — batch into one seeding sprint</t>
  </si>
  <si>
    <t>committees.parliament.uk</t>
  </si>
  <si>
    <t>HTML via curl</t>
  </si>
  <si>
    <t>None viable from Node (CF TLS fingerprinting blocks Undici)</t>
  </si>
  <si>
    <t>NO on Railway / PARTIAL local</t>
  </si>
  <si>
    <t>~10k reports + evidence</t>
  </si>
  <si>
    <t>(1) curl not installed in Railway containers (2) Cloudflare 403s (3) residential IP works for reports-responses, rate-limited on other-publications</t>
  </si>
  <si>
    <t>Install curl via nixpacks.toml; test Railway IP; fallback = local fetch on Charlie machine</t>
  </si>
  <si>
    <t>ECHR HUDOC</t>
  </si>
  <si>
    <t>HTML site</t>
  </si>
  <si>
    <t>NO</t>
  </si>
  <si>
    <t>ECtHR judgments</t>
  </si>
  <si>
    <t>API endpoint changed Jun 2026 — /app/query/results returns 404</t>
  </si>
  <si>
    <t>CCh research task: find new endpoint (free, no CC needed)</t>
  </si>
  <si>
    <t>NAO nao.org.uk</t>
  </si>
  <si>
    <t>PDF downloads</t>
  </si>
  <si>
    <t>VFM reports</t>
  </si>
  <si>
    <t>Client returns 0 sections — never investigated</t>
  </si>
  <si>
    <t>One CCh fetch test to classify the failure, then decide</t>
  </si>
  <si>
    <t>UK Treaties (FCO)</t>
  </si>
  <si>
    <t>API/HTML</t>
  </si>
  <si>
    <t>gov.uk treaty database</t>
  </si>
  <si>
    <t>~15k treaties</t>
  </si>
  <si>
    <t>Still 0 sections after URLSearchParams fix — never investigated</t>
  </si>
  <si>
    <t>Queue reset + one CCh fetch test</t>
  </si>
  <si>
    <t>BAILII</t>
  </si>
  <si>
    <t>None (no API/bulk)</t>
  </si>
  <si>
    <t>~600k pre-2003 + tribunal judgments</t>
  </si>
  <si>
    <t>Cloudflare WAF; contact attempted, no reply</t>
  </si>
  <si>
    <t>Chase contact; TNA covers 2001+ so gap is pre-2003 only — park</t>
  </si>
  <si>
    <t>SSRN</t>
  </si>
  <si>
    <t>~15k abstracts</t>
  </si>
  <si>
    <t>Blocked — cause never recorded</t>
  </si>
  <si>
    <t>One CCh fetch test to classify</t>
  </si>
  <si>
    <t>Parliament Bills API</t>
  </si>
  <si>
    <t>bills.parliament.uk HTML</t>
  </si>
  <si>
    <t>NOT STARTED</t>
  </si>
  <si>
    <t>Bill texts + explanatory notes</t>
  </si>
  <si>
    <t>Horizon item (after pwdata)</t>
  </si>
  <si>
    <t>Hansard API (historic)</t>
  </si>
  <si>
    <t>Pre-TWFY-coverage debates</t>
  </si>
  <si>
    <t>Horizon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</si>
</sst>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9"/>
      <color rgb="FF1F2D3D"/>
      <name val="Arial"/>
      <charset val="1"/>
    </font>
    <font>
      <sz val="9"/>
      <color rgb="FF1F2D3D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2D3D"/>
        <bgColor rgb="FF1F3864"/>
      </patternFill>
    </fill>
    <fill>
      <patternFill patternType="solid">
        <fgColor rgb="FF2E5FA3"/>
        <bgColor rgb="FF3366FF"/>
      </patternFill>
    </fill>
    <fill>
      <patternFill patternType="solid">
        <fgColor rgb="FFD6E4F0"/>
        <bgColor rgb="FFD4EDDA"/>
      </patternFill>
    </fill>
    <fill>
      <patternFill patternType="solid">
        <fgColor rgb="FFD4EDDA"/>
        <bgColor rgb="FFD6E4F0"/>
      </patternFill>
    </fill>
    <fill>
      <patternFill patternType="solid">
        <fgColor rgb="FFFADADD"/>
        <bgColor rgb="FFFFF3CD"/>
      </patternFill>
    </fill>
    <fill>
      <patternFill patternType="solid">
        <fgColor rgb="FFFFF3CD"/>
        <bgColor rgb="FFFFFFFF"/>
      </patternFill>
    </fill>
    <fill>
      <patternFill patternType="solid">
        <fgColor rgb="FF1F3864"/>
        <bgColor rgb="FF1F2D3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4" fillId="8" borderId="0" xfId="0" applyFont="1" applyFill="1"/>
    <xf numFmtId="0" fontId="5" fillId="0" borderId="0" xfId="0" applyFont="1"/>
    <xf numFmtId="0" fontId="6" fillId="0" borderId="0" xfId="0" applyFont="1"/>
    <xf numFmtId="0" fontId="4" fillId="8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ADA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zoomScaleNormal="100" workbookViewId="0">
      <pane xSplit="1" ySplit="1" topLeftCell="G30" activePane="bottomRight" state="frozen"/>
      <selection pane="topRight" activeCell="G1" sqref="G1"/>
      <selection pane="bottomLeft" activeCell="A35" sqref="A35"/>
      <selection pane="bottomRight" sqref="A1:XFD1048576"/>
    </sheetView>
  </sheetViews>
  <sheetFormatPr defaultColWidth="8.6328125" defaultRowHeight="14.5" x14ac:dyDescent="0.35"/>
  <cols>
    <col min="1" max="1" width="38.81640625" customWidth="1"/>
    <col min="2" max="3" width="18" customWidth="1"/>
    <col min="4" max="4" width="12" customWidth="1"/>
    <col min="5" max="5" width="23.26953125" customWidth="1"/>
    <col min="6" max="6" width="22" customWidth="1"/>
    <col min="7" max="7" width="10" customWidth="1"/>
    <col min="8" max="15" width="14" customWidth="1"/>
    <col min="16" max="16" width="34.81640625" customWidth="1"/>
    <col min="17" max="17" width="64" customWidth="1"/>
  </cols>
  <sheetData>
    <row r="1" spans="1:17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/>
      <c r="C2" s="2"/>
      <c r="D2" s="2"/>
      <c r="E2" s="2"/>
      <c r="F2" s="2"/>
      <c r="G2" s="2"/>
      <c r="H2" s="2"/>
      <c r="I2" s="2">
        <f>SUM(I3:I9)</f>
        <v>1060707</v>
      </c>
      <c r="J2" s="2"/>
      <c r="K2" s="2"/>
      <c r="L2" s="2"/>
      <c r="M2" s="2">
        <f>I2/N2</f>
        <v>1.0428266935130257</v>
      </c>
      <c r="N2" s="2">
        <f>SUM(N3:N9)</f>
        <v>1017146</v>
      </c>
      <c r="O2" s="2"/>
      <c r="P2" s="2"/>
      <c r="Q2" s="2"/>
    </row>
    <row r="3" spans="1:17" ht="46" x14ac:dyDescent="0.35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>
        <v>1</v>
      </c>
      <c r="H3" s="4" t="s">
        <v>24</v>
      </c>
      <c r="I3" s="4">
        <v>262116</v>
      </c>
      <c r="J3" s="4"/>
      <c r="K3" s="4"/>
      <c r="L3" s="4"/>
      <c r="M3" s="4" t="s">
        <v>25</v>
      </c>
      <c r="N3" s="4">
        <v>161574</v>
      </c>
      <c r="O3" s="4" t="s">
        <v>26</v>
      </c>
      <c r="P3" s="4"/>
      <c r="Q3" s="4" t="s">
        <v>27</v>
      </c>
    </row>
    <row r="4" spans="1:17" ht="34.5" x14ac:dyDescent="0.35">
      <c r="A4" s="3" t="s">
        <v>28</v>
      </c>
      <c r="B4" s="4" t="s">
        <v>19</v>
      </c>
      <c r="C4" s="4" t="s">
        <v>29</v>
      </c>
      <c r="D4" s="4" t="s">
        <v>21</v>
      </c>
      <c r="E4" s="4" t="s">
        <v>22</v>
      </c>
      <c r="F4" s="4" t="s">
        <v>23</v>
      </c>
      <c r="G4" s="4">
        <v>1</v>
      </c>
      <c r="H4" s="4" t="s">
        <v>24</v>
      </c>
      <c r="I4" s="4">
        <v>235576</v>
      </c>
      <c r="J4" s="4"/>
      <c r="K4" s="4"/>
      <c r="L4" s="4"/>
      <c r="M4" s="4" t="s">
        <v>25</v>
      </c>
      <c r="N4" s="4">
        <v>235572</v>
      </c>
      <c r="O4" s="4" t="s">
        <v>30</v>
      </c>
      <c r="P4" s="4"/>
      <c r="Q4" s="4" t="s">
        <v>31</v>
      </c>
    </row>
    <row r="5" spans="1:17" ht="23" x14ac:dyDescent="0.35">
      <c r="A5" s="3" t="s">
        <v>32</v>
      </c>
      <c r="B5" s="4" t="s">
        <v>19</v>
      </c>
      <c r="C5" s="4" t="s">
        <v>29</v>
      </c>
      <c r="D5" s="4" t="s">
        <v>21</v>
      </c>
      <c r="E5" s="4" t="s">
        <v>22</v>
      </c>
      <c r="F5" s="4" t="s">
        <v>23</v>
      </c>
      <c r="G5" s="4">
        <v>1</v>
      </c>
      <c r="H5" s="4" t="s">
        <v>33</v>
      </c>
      <c r="I5" s="4">
        <v>83407</v>
      </c>
      <c r="J5" s="4"/>
      <c r="K5" s="4"/>
      <c r="L5" s="4"/>
      <c r="M5" s="4" t="s">
        <v>34</v>
      </c>
      <c r="N5" s="4">
        <v>140000</v>
      </c>
      <c r="O5" s="4" t="s">
        <v>35</v>
      </c>
      <c r="P5" s="4" t="s">
        <v>36</v>
      </c>
      <c r="Q5" s="4" t="s">
        <v>37</v>
      </c>
    </row>
    <row r="6" spans="1:17" ht="23" x14ac:dyDescent="0.35">
      <c r="A6" s="3" t="s">
        <v>38</v>
      </c>
      <c r="B6" s="4" t="s">
        <v>19</v>
      </c>
      <c r="C6" s="4" t="s">
        <v>39</v>
      </c>
      <c r="D6" s="4" t="s">
        <v>21</v>
      </c>
      <c r="E6" s="4" t="s">
        <v>22</v>
      </c>
      <c r="F6" s="4" t="s">
        <v>23</v>
      </c>
      <c r="G6" s="4">
        <v>1</v>
      </c>
      <c r="H6" s="4" t="s">
        <v>24</v>
      </c>
      <c r="I6" s="4">
        <v>233492</v>
      </c>
      <c r="J6" s="4"/>
      <c r="K6" s="4"/>
      <c r="L6" s="4"/>
      <c r="M6" s="4" t="s">
        <v>25</v>
      </c>
      <c r="N6" s="4">
        <v>160000</v>
      </c>
      <c r="O6" s="4"/>
      <c r="P6" s="4"/>
      <c r="Q6" s="4" t="s">
        <v>40</v>
      </c>
    </row>
    <row r="7" spans="1:17" ht="23" x14ac:dyDescent="0.35">
      <c r="A7" s="3" t="s">
        <v>41</v>
      </c>
      <c r="B7" s="4" t="s">
        <v>19</v>
      </c>
      <c r="C7" s="4" t="s">
        <v>39</v>
      </c>
      <c r="D7" s="4" t="s">
        <v>21</v>
      </c>
      <c r="E7" s="4" t="s">
        <v>22</v>
      </c>
      <c r="F7" s="4" t="s">
        <v>23</v>
      </c>
      <c r="G7" s="4">
        <v>1</v>
      </c>
      <c r="H7" s="4" t="s">
        <v>33</v>
      </c>
      <c r="I7" s="4">
        <v>123058</v>
      </c>
      <c r="J7" s="4"/>
      <c r="K7" s="4"/>
      <c r="L7" s="4"/>
      <c r="M7" s="4" t="s">
        <v>42</v>
      </c>
      <c r="N7" s="4">
        <v>160000</v>
      </c>
      <c r="O7" s="4"/>
      <c r="P7" s="4" t="s">
        <v>43</v>
      </c>
      <c r="Q7" s="4" t="s">
        <v>44</v>
      </c>
    </row>
    <row r="8" spans="1:17" ht="23" x14ac:dyDescent="0.35">
      <c r="A8" s="3" t="s">
        <v>45</v>
      </c>
      <c r="B8" s="4" t="s">
        <v>19</v>
      </c>
      <c r="C8" s="4" t="s">
        <v>39</v>
      </c>
      <c r="D8" s="4" t="s">
        <v>21</v>
      </c>
      <c r="E8" s="4" t="s">
        <v>22</v>
      </c>
      <c r="F8" s="4" t="s">
        <v>23</v>
      </c>
      <c r="G8" s="4">
        <v>1</v>
      </c>
      <c r="H8" s="4" t="s">
        <v>33</v>
      </c>
      <c r="I8" s="4">
        <v>123058</v>
      </c>
      <c r="J8" s="4"/>
      <c r="K8" s="4"/>
      <c r="L8" s="4"/>
      <c r="M8" s="4" t="s">
        <v>42</v>
      </c>
      <c r="N8" s="4">
        <v>160000</v>
      </c>
      <c r="O8" s="4"/>
      <c r="P8" s="4" t="s">
        <v>43</v>
      </c>
      <c r="Q8" s="4" t="s">
        <v>46</v>
      </c>
    </row>
    <row r="9" spans="1:17" x14ac:dyDescent="0.35">
      <c r="A9" s="3" t="s">
        <v>47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>
        <v>1</v>
      </c>
      <c r="H9" s="4" t="s">
        <v>48</v>
      </c>
      <c r="I9" s="4"/>
      <c r="J9" s="4"/>
      <c r="K9" s="4"/>
      <c r="L9" s="4"/>
      <c r="M9" s="4"/>
      <c r="N9" s="4" t="s">
        <v>49</v>
      </c>
      <c r="O9" s="4"/>
      <c r="P9" s="4"/>
      <c r="Q9" s="4" t="s">
        <v>50</v>
      </c>
    </row>
    <row r="10" spans="1:17" x14ac:dyDescent="0.35">
      <c r="A10" s="2" t="s">
        <v>51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35">
      <c r="A11" s="3" t="s">
        <v>52</v>
      </c>
      <c r="B11" s="4" t="s">
        <v>19</v>
      </c>
      <c r="C11" s="4" t="s">
        <v>53</v>
      </c>
      <c r="D11" s="4" t="s">
        <v>21</v>
      </c>
      <c r="E11" s="4" t="s">
        <v>22</v>
      </c>
      <c r="F11" s="4" t="s">
        <v>23</v>
      </c>
      <c r="G11" s="4">
        <v>1</v>
      </c>
      <c r="H11" s="4" t="s">
        <v>48</v>
      </c>
      <c r="I11" s="4"/>
      <c r="J11" s="4"/>
      <c r="K11" s="4"/>
      <c r="L11" s="4"/>
      <c r="M11" s="4"/>
      <c r="N11" s="4" t="s">
        <v>54</v>
      </c>
      <c r="O11" s="4"/>
      <c r="P11" s="4"/>
      <c r="Q11" s="4" t="s">
        <v>55</v>
      </c>
    </row>
    <row r="12" spans="1:17" ht="34.5" x14ac:dyDescent="0.35">
      <c r="A12" s="5" t="s">
        <v>56</v>
      </c>
      <c r="B12" s="6" t="s">
        <v>57</v>
      </c>
      <c r="C12" s="6" t="s">
        <v>53</v>
      </c>
      <c r="D12" s="6" t="s">
        <v>21</v>
      </c>
      <c r="E12" s="6" t="s">
        <v>22</v>
      </c>
      <c r="F12" s="6" t="s">
        <v>58</v>
      </c>
      <c r="G12" s="4">
        <v>1</v>
      </c>
      <c r="H12" s="6" t="s">
        <v>33</v>
      </c>
      <c r="I12" s="6">
        <v>83203</v>
      </c>
      <c r="J12" s="6"/>
      <c r="K12" s="6"/>
      <c r="L12" s="6"/>
      <c r="M12" s="6" t="s">
        <v>59</v>
      </c>
      <c r="N12" s="6">
        <v>640000</v>
      </c>
      <c r="O12" s="6" t="s">
        <v>60</v>
      </c>
      <c r="P12" s="6" t="s">
        <v>61</v>
      </c>
      <c r="Q12" s="6" t="s">
        <v>62</v>
      </c>
    </row>
    <row r="13" spans="1:17" ht="23" x14ac:dyDescent="0.35">
      <c r="A13" s="3" t="s">
        <v>63</v>
      </c>
      <c r="B13" s="4" t="s">
        <v>64</v>
      </c>
      <c r="C13" s="4" t="s">
        <v>65</v>
      </c>
      <c r="D13" s="4" t="s">
        <v>21</v>
      </c>
      <c r="E13" s="4" t="s">
        <v>66</v>
      </c>
      <c r="F13" s="4" t="s">
        <v>67</v>
      </c>
      <c r="G13" s="4">
        <v>1</v>
      </c>
      <c r="H13" s="4" t="s">
        <v>24</v>
      </c>
      <c r="I13" s="4">
        <v>3661</v>
      </c>
      <c r="J13" s="4"/>
      <c r="K13" s="4"/>
      <c r="L13" s="4"/>
      <c r="M13" s="4" t="s">
        <v>25</v>
      </c>
      <c r="N13" s="4"/>
      <c r="O13" s="4"/>
      <c r="P13" s="4"/>
      <c r="Q13" s="4" t="s">
        <v>68</v>
      </c>
    </row>
    <row r="14" spans="1:17" x14ac:dyDescent="0.35">
      <c r="A14" s="7" t="s">
        <v>69</v>
      </c>
      <c r="B14" s="8" t="s">
        <v>70</v>
      </c>
      <c r="C14" s="8" t="s">
        <v>71</v>
      </c>
      <c r="D14" s="8" t="s">
        <v>72</v>
      </c>
      <c r="E14" s="8" t="s">
        <v>73</v>
      </c>
      <c r="F14" s="8" t="s">
        <v>74</v>
      </c>
      <c r="G14" s="4">
        <v>1</v>
      </c>
      <c r="H14" s="8" t="s">
        <v>75</v>
      </c>
      <c r="I14" s="8"/>
      <c r="J14" s="8"/>
      <c r="K14" s="8"/>
      <c r="L14" s="8"/>
      <c r="M14" s="8"/>
      <c r="N14" s="8"/>
      <c r="O14" s="8"/>
      <c r="P14" s="8"/>
      <c r="Q14" s="8" t="s">
        <v>76</v>
      </c>
    </row>
    <row r="15" spans="1:17" x14ac:dyDescent="0.35">
      <c r="A15" s="2" t="s">
        <v>77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3" x14ac:dyDescent="0.35">
      <c r="A16" s="3" t="s">
        <v>78</v>
      </c>
      <c r="B16" s="4" t="s">
        <v>64</v>
      </c>
      <c r="C16" s="4" t="s">
        <v>79</v>
      </c>
      <c r="D16" s="4" t="s">
        <v>21</v>
      </c>
      <c r="E16" s="4" t="s">
        <v>80</v>
      </c>
      <c r="F16" s="4" t="s">
        <v>81</v>
      </c>
      <c r="G16" s="4">
        <v>2</v>
      </c>
      <c r="H16" s="4" t="s">
        <v>33</v>
      </c>
      <c r="I16" s="4">
        <v>253</v>
      </c>
      <c r="J16" s="4"/>
      <c r="K16" s="4"/>
      <c r="L16" s="4"/>
      <c r="M16" s="4" t="s">
        <v>82</v>
      </c>
      <c r="N16" s="4"/>
      <c r="O16" s="4"/>
      <c r="P16" s="4"/>
      <c r="Q16" s="4" t="s">
        <v>83</v>
      </c>
    </row>
    <row r="17" spans="1:17" ht="23" x14ac:dyDescent="0.35">
      <c r="A17" s="3" t="s">
        <v>84</v>
      </c>
      <c r="B17" s="4" t="s">
        <v>57</v>
      </c>
      <c r="C17" s="4" t="s">
        <v>79</v>
      </c>
      <c r="D17" s="4" t="s">
        <v>21</v>
      </c>
      <c r="E17" s="4" t="s">
        <v>85</v>
      </c>
      <c r="F17" s="4" t="s">
        <v>86</v>
      </c>
      <c r="G17" s="4">
        <v>2</v>
      </c>
      <c r="H17" s="4" t="s">
        <v>33</v>
      </c>
      <c r="I17" s="4">
        <v>1944</v>
      </c>
      <c r="J17" s="4"/>
      <c r="K17" s="4"/>
      <c r="L17" s="4"/>
      <c r="M17" s="4" t="s">
        <v>87</v>
      </c>
      <c r="N17" s="4">
        <v>8000</v>
      </c>
      <c r="O17" s="4"/>
      <c r="P17" s="4"/>
      <c r="Q17" s="4" t="s">
        <v>88</v>
      </c>
    </row>
    <row r="18" spans="1:17" x14ac:dyDescent="0.35">
      <c r="A18" s="3" t="s">
        <v>89</v>
      </c>
      <c r="B18" s="4" t="s">
        <v>64</v>
      </c>
      <c r="C18" s="4" t="s">
        <v>79</v>
      </c>
      <c r="D18" s="4" t="s">
        <v>21</v>
      </c>
      <c r="E18" s="4" t="s">
        <v>22</v>
      </c>
      <c r="F18" s="4" t="s">
        <v>90</v>
      </c>
      <c r="G18" s="4">
        <v>2</v>
      </c>
      <c r="H18" s="4" t="s">
        <v>48</v>
      </c>
      <c r="I18" s="4"/>
      <c r="J18" s="4"/>
      <c r="K18" s="4"/>
      <c r="L18" s="4"/>
      <c r="M18" s="4"/>
      <c r="N18" s="4" t="s">
        <v>91</v>
      </c>
      <c r="O18" s="4"/>
      <c r="P18" s="4"/>
      <c r="Q18" s="4" t="s">
        <v>92</v>
      </c>
    </row>
    <row r="19" spans="1:17" ht="23" x14ac:dyDescent="0.35">
      <c r="A19" s="3" t="s">
        <v>93</v>
      </c>
      <c r="B19" s="4" t="s">
        <v>57</v>
      </c>
      <c r="C19" s="4" t="s">
        <v>94</v>
      </c>
      <c r="D19" s="4" t="s">
        <v>21</v>
      </c>
      <c r="E19" s="4" t="s">
        <v>22</v>
      </c>
      <c r="F19" s="4" t="s">
        <v>90</v>
      </c>
      <c r="G19" s="4">
        <v>2</v>
      </c>
      <c r="H19" s="4" t="s">
        <v>48</v>
      </c>
      <c r="I19" s="4"/>
      <c r="J19" s="4"/>
      <c r="K19" s="4"/>
      <c r="L19" s="4"/>
      <c r="M19" s="4"/>
      <c r="N19" s="4" t="s">
        <v>95</v>
      </c>
      <c r="O19" s="4"/>
      <c r="P19" s="4"/>
      <c r="Q19" s="4" t="s">
        <v>96</v>
      </c>
    </row>
    <row r="20" spans="1:17" ht="23" x14ac:dyDescent="0.35">
      <c r="A20" s="3" t="s">
        <v>97</v>
      </c>
      <c r="B20" s="4" t="s">
        <v>57</v>
      </c>
      <c r="C20" s="4" t="s">
        <v>98</v>
      </c>
      <c r="D20" s="4" t="s">
        <v>21</v>
      </c>
      <c r="E20" s="4" t="s">
        <v>22</v>
      </c>
      <c r="F20" s="4" t="s">
        <v>90</v>
      </c>
      <c r="G20" s="4">
        <v>2</v>
      </c>
      <c r="H20" s="4" t="s">
        <v>48</v>
      </c>
      <c r="I20" s="4"/>
      <c r="J20" s="4"/>
      <c r="K20" s="4"/>
      <c r="L20" s="4"/>
      <c r="M20" s="4"/>
      <c r="N20" s="4" t="s">
        <v>95</v>
      </c>
      <c r="O20" s="4"/>
      <c r="P20" s="4"/>
      <c r="Q20" s="4" t="s">
        <v>99</v>
      </c>
    </row>
    <row r="21" spans="1:17" ht="23" x14ac:dyDescent="0.35">
      <c r="A21" s="9" t="s">
        <v>100</v>
      </c>
      <c r="B21" s="10" t="s">
        <v>57</v>
      </c>
      <c r="C21" s="10" t="s">
        <v>101</v>
      </c>
      <c r="D21" s="10" t="s">
        <v>102</v>
      </c>
      <c r="E21" s="10" t="s">
        <v>103</v>
      </c>
      <c r="F21" s="10" t="s">
        <v>104</v>
      </c>
      <c r="G21" s="4">
        <v>2</v>
      </c>
      <c r="H21" s="10" t="s">
        <v>48</v>
      </c>
      <c r="I21" s="10"/>
      <c r="J21" s="10"/>
      <c r="K21" s="10"/>
      <c r="L21" s="10"/>
      <c r="M21" s="10"/>
      <c r="N21" s="10" t="s">
        <v>105</v>
      </c>
      <c r="O21" s="10"/>
      <c r="P21" s="10"/>
      <c r="Q21" s="10" t="s">
        <v>106</v>
      </c>
    </row>
    <row r="22" spans="1:17" ht="23" x14ac:dyDescent="0.35">
      <c r="A22" s="3" t="s">
        <v>107</v>
      </c>
      <c r="B22" s="4" t="s">
        <v>57</v>
      </c>
      <c r="C22" s="4" t="s">
        <v>108</v>
      </c>
      <c r="D22" s="4" t="s">
        <v>21</v>
      </c>
      <c r="E22" s="4" t="s">
        <v>22</v>
      </c>
      <c r="F22" s="4" t="s">
        <v>109</v>
      </c>
      <c r="G22" s="4">
        <v>2</v>
      </c>
      <c r="H22" s="4" t="s">
        <v>48</v>
      </c>
      <c r="I22" s="4"/>
      <c r="J22" s="4"/>
      <c r="K22" s="4"/>
      <c r="L22" s="4"/>
      <c r="M22" s="4"/>
      <c r="N22" s="4" t="s">
        <v>110</v>
      </c>
      <c r="O22" s="4"/>
      <c r="P22" s="4"/>
      <c r="Q22" s="4"/>
    </row>
    <row r="23" spans="1:17" ht="23" x14ac:dyDescent="0.35">
      <c r="A23" s="3" t="s">
        <v>111</v>
      </c>
      <c r="B23" s="4" t="s">
        <v>57</v>
      </c>
      <c r="C23" s="4" t="s">
        <v>112</v>
      </c>
      <c r="D23" s="4" t="s">
        <v>21</v>
      </c>
      <c r="E23" s="4" t="s">
        <v>22</v>
      </c>
      <c r="F23" s="4" t="s">
        <v>90</v>
      </c>
      <c r="G23" s="4">
        <v>2</v>
      </c>
      <c r="H23" s="4" t="s">
        <v>33</v>
      </c>
      <c r="I23" s="4">
        <v>791</v>
      </c>
      <c r="J23" s="4"/>
      <c r="K23" s="4"/>
      <c r="L23" s="4"/>
      <c r="M23" s="4" t="s">
        <v>113</v>
      </c>
      <c r="N23" s="4">
        <v>5000</v>
      </c>
      <c r="O23" s="4"/>
      <c r="P23" s="4"/>
      <c r="Q23" s="4" t="s">
        <v>114</v>
      </c>
    </row>
    <row r="24" spans="1:17" ht="23" x14ac:dyDescent="0.35">
      <c r="A24" s="3" t="s">
        <v>115</v>
      </c>
      <c r="B24" s="4" t="s">
        <v>57</v>
      </c>
      <c r="C24" s="4" t="s">
        <v>116</v>
      </c>
      <c r="D24" s="4" t="s">
        <v>21</v>
      </c>
      <c r="E24" s="4" t="s">
        <v>22</v>
      </c>
      <c r="F24" s="4" t="s">
        <v>90</v>
      </c>
      <c r="G24" s="4">
        <v>2</v>
      </c>
      <c r="H24" s="4" t="s">
        <v>33</v>
      </c>
      <c r="I24" s="4">
        <v>791</v>
      </c>
      <c r="J24" s="4"/>
      <c r="K24" s="4"/>
      <c r="L24" s="4"/>
      <c r="M24" s="4" t="s">
        <v>117</v>
      </c>
      <c r="N24" s="4">
        <v>3000</v>
      </c>
      <c r="O24" s="4"/>
      <c r="P24" s="4"/>
      <c r="Q24" s="4"/>
    </row>
    <row r="25" spans="1:17" ht="23" x14ac:dyDescent="0.35">
      <c r="A25" s="3" t="s">
        <v>118</v>
      </c>
      <c r="B25" s="4" t="s">
        <v>57</v>
      </c>
      <c r="C25" s="4" t="s">
        <v>119</v>
      </c>
      <c r="D25" s="4" t="s">
        <v>21</v>
      </c>
      <c r="E25" s="4" t="s">
        <v>120</v>
      </c>
      <c r="F25" s="4" t="s">
        <v>121</v>
      </c>
      <c r="G25" s="4">
        <v>2</v>
      </c>
      <c r="H25" s="4" t="s">
        <v>48</v>
      </c>
      <c r="I25" s="4"/>
      <c r="J25" s="4"/>
      <c r="K25" s="4"/>
      <c r="L25" s="4"/>
      <c r="M25" s="4"/>
      <c r="N25" s="4" t="s">
        <v>122</v>
      </c>
      <c r="O25" s="4"/>
      <c r="P25" s="4"/>
      <c r="Q25" s="4"/>
    </row>
    <row r="26" spans="1:17" ht="23" x14ac:dyDescent="0.35">
      <c r="A26" s="3" t="s">
        <v>123</v>
      </c>
      <c r="B26" s="4" t="s">
        <v>64</v>
      </c>
      <c r="C26" s="4" t="s">
        <v>124</v>
      </c>
      <c r="D26" s="4" t="s">
        <v>21</v>
      </c>
      <c r="E26" s="4" t="s">
        <v>125</v>
      </c>
      <c r="F26" s="4" t="s">
        <v>126</v>
      </c>
      <c r="G26" s="4">
        <v>2</v>
      </c>
      <c r="H26" s="4" t="s">
        <v>48</v>
      </c>
      <c r="I26" s="4"/>
      <c r="J26" s="4"/>
      <c r="K26" s="4"/>
      <c r="L26" s="4"/>
      <c r="M26" s="4"/>
      <c r="N26" s="4" t="s">
        <v>127</v>
      </c>
      <c r="O26" s="4"/>
      <c r="P26" s="4"/>
      <c r="Q26" s="4" t="s">
        <v>128</v>
      </c>
    </row>
    <row r="27" spans="1:17" ht="23" x14ac:dyDescent="0.35">
      <c r="A27" s="3" t="s">
        <v>129</v>
      </c>
      <c r="B27" s="4" t="s">
        <v>57</v>
      </c>
      <c r="C27" s="4" t="s">
        <v>124</v>
      </c>
      <c r="D27" s="4" t="s">
        <v>21</v>
      </c>
      <c r="E27" s="4" t="s">
        <v>22</v>
      </c>
      <c r="F27" s="4" t="s">
        <v>130</v>
      </c>
      <c r="G27" s="4">
        <v>2</v>
      </c>
      <c r="H27" s="4" t="s">
        <v>48</v>
      </c>
      <c r="I27" s="4"/>
      <c r="J27" s="4"/>
      <c r="K27" s="4"/>
      <c r="L27" s="4"/>
      <c r="M27" s="4"/>
      <c r="N27" s="4" t="s">
        <v>131</v>
      </c>
      <c r="O27" s="4"/>
      <c r="P27" s="4"/>
      <c r="Q27" s="4" t="s">
        <v>132</v>
      </c>
    </row>
    <row r="28" spans="1:17" x14ac:dyDescent="0.35">
      <c r="A28" s="11" t="s">
        <v>133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ht="34.5" x14ac:dyDescent="0.35">
      <c r="A29" s="3" t="s">
        <v>134</v>
      </c>
      <c r="B29" s="4" t="s">
        <v>135</v>
      </c>
      <c r="C29" s="4" t="s">
        <v>136</v>
      </c>
      <c r="D29" s="4" t="s">
        <v>21</v>
      </c>
      <c r="E29" s="4" t="s">
        <v>22</v>
      </c>
      <c r="F29" s="4" t="s">
        <v>137</v>
      </c>
      <c r="G29" s="4">
        <v>2</v>
      </c>
      <c r="H29" s="4" t="s">
        <v>24</v>
      </c>
      <c r="I29" s="4">
        <v>791</v>
      </c>
      <c r="J29" s="4"/>
      <c r="K29" s="4"/>
      <c r="L29" s="4"/>
      <c r="M29" s="4" t="s">
        <v>25</v>
      </c>
      <c r="N29" s="4">
        <v>800</v>
      </c>
      <c r="O29" s="4" t="s">
        <v>138</v>
      </c>
      <c r="P29" s="4"/>
      <c r="Q29" s="4" t="s">
        <v>139</v>
      </c>
    </row>
    <row r="30" spans="1:17" ht="23" x14ac:dyDescent="0.35">
      <c r="A30" s="3" t="s">
        <v>140</v>
      </c>
      <c r="B30" s="4" t="s">
        <v>70</v>
      </c>
      <c r="C30" s="4" t="s">
        <v>136</v>
      </c>
      <c r="D30" s="4" t="s">
        <v>21</v>
      </c>
      <c r="E30" s="4" t="s">
        <v>22</v>
      </c>
      <c r="F30" s="4" t="s">
        <v>90</v>
      </c>
      <c r="G30" s="4">
        <v>2</v>
      </c>
      <c r="H30" s="4" t="s">
        <v>24</v>
      </c>
      <c r="I30" s="4">
        <v>497</v>
      </c>
      <c r="J30" s="4"/>
      <c r="K30" s="4"/>
      <c r="L30" s="4"/>
      <c r="M30" s="4" t="s">
        <v>25</v>
      </c>
      <c r="N30" s="4">
        <v>497</v>
      </c>
      <c r="O30" s="4" t="s">
        <v>141</v>
      </c>
      <c r="P30" s="4"/>
      <c r="Q30" s="4" t="s">
        <v>142</v>
      </c>
    </row>
    <row r="31" spans="1:17" ht="23" x14ac:dyDescent="0.35">
      <c r="A31" s="3" t="s">
        <v>143</v>
      </c>
      <c r="B31" s="4" t="s">
        <v>70</v>
      </c>
      <c r="C31" s="4" t="s">
        <v>144</v>
      </c>
      <c r="D31" s="4" t="s">
        <v>21</v>
      </c>
      <c r="E31" s="4" t="s">
        <v>22</v>
      </c>
      <c r="F31" s="4" t="s">
        <v>145</v>
      </c>
      <c r="G31" s="4">
        <v>2</v>
      </c>
      <c r="H31" s="4" t="s">
        <v>24</v>
      </c>
      <c r="I31" s="4">
        <v>350</v>
      </c>
      <c r="J31" s="4"/>
      <c r="K31" s="4"/>
      <c r="L31" s="4"/>
      <c r="M31" s="4" t="s">
        <v>25</v>
      </c>
      <c r="N31" s="4">
        <v>350</v>
      </c>
      <c r="O31" s="4" t="s">
        <v>146</v>
      </c>
      <c r="P31" s="4"/>
      <c r="Q31" s="4" t="s">
        <v>147</v>
      </c>
    </row>
    <row r="32" spans="1:17" ht="23" x14ac:dyDescent="0.35">
      <c r="A32" s="3" t="s">
        <v>148</v>
      </c>
      <c r="B32" s="4" t="s">
        <v>70</v>
      </c>
      <c r="C32" s="4" t="s">
        <v>144</v>
      </c>
      <c r="D32" s="4" t="s">
        <v>21</v>
      </c>
      <c r="E32" s="4" t="s">
        <v>22</v>
      </c>
      <c r="F32" s="4" t="s">
        <v>149</v>
      </c>
      <c r="G32" s="4">
        <v>2</v>
      </c>
      <c r="H32" s="4" t="s">
        <v>33</v>
      </c>
      <c r="I32" s="4">
        <v>17</v>
      </c>
      <c r="J32" s="4"/>
      <c r="K32" s="4"/>
      <c r="L32" s="4"/>
      <c r="M32" s="4" t="s">
        <v>150</v>
      </c>
      <c r="N32" s="4"/>
      <c r="O32" s="4" t="s">
        <v>151</v>
      </c>
      <c r="P32" s="4"/>
      <c r="Q32" s="4" t="s">
        <v>152</v>
      </c>
    </row>
    <row r="33" spans="1:17" ht="23" x14ac:dyDescent="0.35">
      <c r="A33" s="3" t="s">
        <v>153</v>
      </c>
      <c r="B33" s="4" t="s">
        <v>70</v>
      </c>
      <c r="C33" s="4" t="s">
        <v>154</v>
      </c>
      <c r="D33" s="4" t="s">
        <v>21</v>
      </c>
      <c r="E33" s="4" t="s">
        <v>155</v>
      </c>
      <c r="F33" s="4" t="s">
        <v>156</v>
      </c>
      <c r="G33" s="4">
        <v>2</v>
      </c>
      <c r="H33" s="4" t="s">
        <v>157</v>
      </c>
      <c r="I33" s="4"/>
      <c r="J33" s="4"/>
      <c r="K33" s="4"/>
      <c r="L33" s="4"/>
      <c r="M33" s="4"/>
      <c r="N33" s="4"/>
      <c r="O33" s="4" t="s">
        <v>158</v>
      </c>
      <c r="P33" s="4" t="s">
        <v>159</v>
      </c>
      <c r="Q33" s="4" t="s">
        <v>160</v>
      </c>
    </row>
    <row r="34" spans="1:17" x14ac:dyDescent="0.35">
      <c r="A34" s="2" t="s">
        <v>161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34.5" x14ac:dyDescent="0.35">
      <c r="A35" s="3" t="s">
        <v>162</v>
      </c>
      <c r="B35" s="4" t="s">
        <v>163</v>
      </c>
      <c r="C35" s="4" t="s">
        <v>164</v>
      </c>
      <c r="D35" s="4" t="s">
        <v>21</v>
      </c>
      <c r="E35" s="4" t="s">
        <v>165</v>
      </c>
      <c r="F35" s="4" t="s">
        <v>166</v>
      </c>
      <c r="G35" s="4">
        <v>3</v>
      </c>
      <c r="H35" s="4" t="s">
        <v>24</v>
      </c>
      <c r="I35" s="4">
        <v>6378048</v>
      </c>
      <c r="J35" s="4"/>
      <c r="K35" s="4"/>
      <c r="L35" s="4"/>
      <c r="M35" s="4" t="s">
        <v>25</v>
      </c>
      <c r="N35" s="4">
        <v>2000000</v>
      </c>
      <c r="O35" s="4" t="s">
        <v>167</v>
      </c>
      <c r="P35" s="4"/>
      <c r="Q35" s="4" t="s">
        <v>168</v>
      </c>
    </row>
    <row r="36" spans="1:17" ht="34.5" x14ac:dyDescent="0.35">
      <c r="A36" s="3" t="s">
        <v>169</v>
      </c>
      <c r="B36" s="4" t="s">
        <v>163</v>
      </c>
      <c r="C36" s="4" t="s">
        <v>164</v>
      </c>
      <c r="D36" s="4" t="s">
        <v>21</v>
      </c>
      <c r="E36" s="4" t="s">
        <v>165</v>
      </c>
      <c r="F36" s="4" t="s">
        <v>170</v>
      </c>
      <c r="G36" s="4">
        <v>3</v>
      </c>
      <c r="H36" s="4" t="s">
        <v>24</v>
      </c>
      <c r="I36" s="4">
        <v>748206</v>
      </c>
      <c r="J36" s="4"/>
      <c r="K36" s="4"/>
      <c r="L36" s="4"/>
      <c r="M36" s="4" t="s">
        <v>25</v>
      </c>
      <c r="N36" s="4">
        <v>500000</v>
      </c>
      <c r="O36" s="4"/>
      <c r="P36" s="4" t="s">
        <v>171</v>
      </c>
      <c r="Q36" s="4" t="s">
        <v>172</v>
      </c>
    </row>
    <row r="37" spans="1:17" ht="23" x14ac:dyDescent="0.35">
      <c r="A37" s="3" t="s">
        <v>173</v>
      </c>
      <c r="B37" s="4" t="s">
        <v>163</v>
      </c>
      <c r="C37" s="4" t="s">
        <v>174</v>
      </c>
      <c r="D37" s="4" t="s">
        <v>21</v>
      </c>
      <c r="E37" s="4" t="s">
        <v>165</v>
      </c>
      <c r="F37" s="4" t="s">
        <v>175</v>
      </c>
      <c r="G37" s="4">
        <v>3</v>
      </c>
      <c r="H37" s="4" t="s">
        <v>48</v>
      </c>
      <c r="I37" s="4"/>
      <c r="J37" s="4"/>
      <c r="K37" s="4"/>
      <c r="L37" s="4"/>
      <c r="M37" s="4"/>
      <c r="N37" s="4"/>
      <c r="O37" s="4"/>
      <c r="P37" s="4"/>
      <c r="Q37" s="4" t="s">
        <v>176</v>
      </c>
    </row>
    <row r="38" spans="1:17" ht="46" x14ac:dyDescent="0.35">
      <c r="A38" s="3" t="s">
        <v>177</v>
      </c>
      <c r="B38" s="4" t="s">
        <v>163</v>
      </c>
      <c r="C38" s="4" t="s">
        <v>178</v>
      </c>
      <c r="D38" s="4" t="s">
        <v>21</v>
      </c>
      <c r="E38" s="4" t="s">
        <v>165</v>
      </c>
      <c r="F38" s="4" t="s">
        <v>170</v>
      </c>
      <c r="G38" s="4">
        <v>3</v>
      </c>
      <c r="H38" s="4" t="s">
        <v>157</v>
      </c>
      <c r="I38" s="4">
        <v>0</v>
      </c>
      <c r="J38" s="4"/>
      <c r="K38" s="4"/>
      <c r="L38" s="4"/>
      <c r="M38" s="4" t="s">
        <v>179</v>
      </c>
      <c r="N38" s="4"/>
      <c r="O38" s="4" t="s">
        <v>180</v>
      </c>
      <c r="P38" s="4" t="s">
        <v>181</v>
      </c>
      <c r="Q38" s="4" t="s">
        <v>182</v>
      </c>
    </row>
    <row r="39" spans="1:17" ht="34.5" x14ac:dyDescent="0.35">
      <c r="A39" s="3" t="s">
        <v>183</v>
      </c>
      <c r="B39" s="4" t="s">
        <v>163</v>
      </c>
      <c r="C39" s="4" t="s">
        <v>184</v>
      </c>
      <c r="D39" s="4" t="s">
        <v>21</v>
      </c>
      <c r="E39" s="4" t="s">
        <v>165</v>
      </c>
      <c r="F39" s="4" t="s">
        <v>166</v>
      </c>
      <c r="G39" s="4">
        <v>3</v>
      </c>
      <c r="H39" s="4" t="s">
        <v>33</v>
      </c>
      <c r="I39" s="4">
        <v>1391403</v>
      </c>
      <c r="J39" s="4"/>
      <c r="K39" s="4"/>
      <c r="L39" s="4"/>
      <c r="M39" s="4" t="s">
        <v>185</v>
      </c>
      <c r="N39" s="4">
        <v>1259593</v>
      </c>
      <c r="O39" s="4" t="s">
        <v>186</v>
      </c>
      <c r="P39" s="4" t="s">
        <v>187</v>
      </c>
      <c r="Q39" s="4" t="s">
        <v>188</v>
      </c>
    </row>
    <row r="40" spans="1:17" ht="34.5" x14ac:dyDescent="0.35">
      <c r="A40" s="3" t="s">
        <v>189</v>
      </c>
      <c r="B40" s="4" t="s">
        <v>163</v>
      </c>
      <c r="C40" s="4" t="s">
        <v>190</v>
      </c>
      <c r="D40" s="4" t="s">
        <v>21</v>
      </c>
      <c r="E40" s="4" t="s">
        <v>165</v>
      </c>
      <c r="F40" s="4" t="s">
        <v>166</v>
      </c>
      <c r="G40" s="4">
        <v>3</v>
      </c>
      <c r="H40" s="4" t="s">
        <v>33</v>
      </c>
      <c r="I40" s="4">
        <v>44534</v>
      </c>
      <c r="J40" s="4"/>
      <c r="K40" s="4"/>
      <c r="L40" s="4"/>
      <c r="M40" s="4" t="s">
        <v>191</v>
      </c>
      <c r="N40" s="4">
        <v>17487</v>
      </c>
      <c r="O40" s="4" t="s">
        <v>192</v>
      </c>
      <c r="P40" s="4" t="s">
        <v>193</v>
      </c>
      <c r="Q40" s="4" t="s">
        <v>194</v>
      </c>
    </row>
    <row r="41" spans="1:17" x14ac:dyDescent="0.35">
      <c r="A41" s="3" t="s">
        <v>195</v>
      </c>
      <c r="B41" s="4" t="s">
        <v>135</v>
      </c>
      <c r="C41" s="4" t="s">
        <v>163</v>
      </c>
      <c r="D41" s="4" t="s">
        <v>21</v>
      </c>
      <c r="E41" s="4" t="s">
        <v>22</v>
      </c>
      <c r="F41" s="4" t="s">
        <v>196</v>
      </c>
      <c r="G41" s="4">
        <v>3</v>
      </c>
      <c r="H41" s="4" t="s">
        <v>48</v>
      </c>
      <c r="I41" s="4"/>
      <c r="J41" s="4"/>
      <c r="K41" s="4"/>
      <c r="L41" s="4"/>
      <c r="M41" s="4"/>
      <c r="N41" s="4"/>
      <c r="O41" s="4"/>
      <c r="P41" s="4"/>
      <c r="Q41" s="4" t="s">
        <v>197</v>
      </c>
    </row>
    <row r="42" spans="1:17" ht="23" x14ac:dyDescent="0.35">
      <c r="A42" s="3" t="s">
        <v>198</v>
      </c>
      <c r="B42" s="4" t="s">
        <v>135</v>
      </c>
      <c r="C42" s="4" t="s">
        <v>199</v>
      </c>
      <c r="D42" s="4" t="s">
        <v>21</v>
      </c>
      <c r="E42" s="4" t="s">
        <v>22</v>
      </c>
      <c r="F42" s="4" t="s">
        <v>200</v>
      </c>
      <c r="G42" s="4">
        <v>3</v>
      </c>
      <c r="H42" s="4" t="s">
        <v>48</v>
      </c>
      <c r="I42" s="4"/>
      <c r="J42" s="4"/>
      <c r="K42" s="4"/>
      <c r="L42" s="4"/>
      <c r="M42" s="4"/>
      <c r="N42" s="4"/>
      <c r="O42" s="4"/>
      <c r="P42" s="4"/>
      <c r="Q42" s="4" t="s">
        <v>201</v>
      </c>
    </row>
    <row r="43" spans="1:17" ht="23" x14ac:dyDescent="0.35">
      <c r="A43" s="3" t="s">
        <v>202</v>
      </c>
      <c r="B43" s="4" t="s">
        <v>135</v>
      </c>
      <c r="C43" s="4" t="s">
        <v>199</v>
      </c>
      <c r="D43" s="4" t="s">
        <v>21</v>
      </c>
      <c r="E43" s="4" t="s">
        <v>22</v>
      </c>
      <c r="F43" s="4" t="s">
        <v>137</v>
      </c>
      <c r="G43" s="4">
        <v>3</v>
      </c>
      <c r="H43" s="4" t="s">
        <v>48</v>
      </c>
      <c r="I43" s="4"/>
      <c r="J43" s="4"/>
      <c r="K43" s="4"/>
      <c r="L43" s="4"/>
      <c r="M43" s="4"/>
      <c r="N43" s="4"/>
      <c r="O43" s="4"/>
      <c r="P43" s="4"/>
      <c r="Q43" s="4" t="s">
        <v>203</v>
      </c>
    </row>
    <row r="44" spans="1:17" ht="23" x14ac:dyDescent="0.35">
      <c r="A44" s="3" t="s">
        <v>204</v>
      </c>
      <c r="B44" s="4" t="s">
        <v>135</v>
      </c>
      <c r="C44" s="4" t="s">
        <v>199</v>
      </c>
      <c r="D44" s="4" t="s">
        <v>21</v>
      </c>
      <c r="E44" s="4" t="s">
        <v>22</v>
      </c>
      <c r="F44" s="4" t="s">
        <v>205</v>
      </c>
      <c r="G44" s="4">
        <v>3</v>
      </c>
      <c r="H44" s="4" t="s">
        <v>48</v>
      </c>
      <c r="I44" s="4"/>
      <c r="J44" s="4"/>
      <c r="K44" s="4"/>
      <c r="L44" s="4"/>
      <c r="M44" s="4"/>
      <c r="N44" s="4"/>
      <c r="O44" s="4"/>
      <c r="P44" s="4"/>
      <c r="Q44" s="4" t="s">
        <v>206</v>
      </c>
    </row>
    <row r="45" spans="1:17" ht="23" x14ac:dyDescent="0.35">
      <c r="A45" s="3" t="s">
        <v>207</v>
      </c>
      <c r="B45" s="4" t="s">
        <v>135</v>
      </c>
      <c r="C45" s="4" t="s">
        <v>199</v>
      </c>
      <c r="D45" s="4" t="s">
        <v>21</v>
      </c>
      <c r="E45" s="4" t="s">
        <v>208</v>
      </c>
      <c r="F45" s="4" t="s">
        <v>209</v>
      </c>
      <c r="G45" s="4">
        <v>3</v>
      </c>
      <c r="H45" s="4" t="s">
        <v>48</v>
      </c>
      <c r="I45" s="4"/>
      <c r="J45" s="4"/>
      <c r="K45" s="4"/>
      <c r="L45" s="4"/>
      <c r="M45" s="4"/>
      <c r="N45" s="4"/>
      <c r="O45" s="4"/>
      <c r="P45" s="4"/>
      <c r="Q45" s="4" t="s">
        <v>210</v>
      </c>
    </row>
    <row r="46" spans="1:17" x14ac:dyDescent="0.35">
      <c r="A46" s="3" t="s">
        <v>211</v>
      </c>
      <c r="B46" s="4" t="s">
        <v>163</v>
      </c>
      <c r="C46" s="4" t="s">
        <v>212</v>
      </c>
      <c r="D46" s="4" t="s">
        <v>21</v>
      </c>
      <c r="E46" s="4" t="s">
        <v>213</v>
      </c>
      <c r="F46" s="4" t="s">
        <v>214</v>
      </c>
      <c r="G46" s="4">
        <v>3</v>
      </c>
      <c r="H46" s="4" t="s">
        <v>48</v>
      </c>
      <c r="I46" s="4"/>
      <c r="J46" s="4"/>
      <c r="K46" s="4"/>
      <c r="L46" s="4"/>
      <c r="M46" s="4"/>
      <c r="N46" s="4"/>
      <c r="O46" s="4"/>
      <c r="P46" s="4"/>
      <c r="Q46" s="4" t="s">
        <v>215</v>
      </c>
    </row>
    <row r="47" spans="1:17" x14ac:dyDescent="0.35">
      <c r="A47" s="2" t="s">
        <v>216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23" x14ac:dyDescent="0.35">
      <c r="A48" s="3" t="s">
        <v>217</v>
      </c>
      <c r="B48" s="4" t="s">
        <v>199</v>
      </c>
      <c r="C48" s="4" t="s">
        <v>218</v>
      </c>
      <c r="D48" s="4" t="s">
        <v>21</v>
      </c>
      <c r="E48" s="4" t="s">
        <v>22</v>
      </c>
      <c r="F48" s="4" t="s">
        <v>219</v>
      </c>
      <c r="G48" s="4">
        <v>3</v>
      </c>
      <c r="H48" s="4" t="s">
        <v>48</v>
      </c>
      <c r="I48" s="4"/>
      <c r="J48" s="4"/>
      <c r="K48" s="4"/>
      <c r="L48" s="4"/>
      <c r="M48" s="4"/>
      <c r="N48" s="4"/>
      <c r="O48" s="4"/>
      <c r="P48" s="4"/>
      <c r="Q48" s="4" t="s">
        <v>220</v>
      </c>
    </row>
    <row r="49" spans="1:17" ht="23" x14ac:dyDescent="0.35">
      <c r="A49" s="3" t="s">
        <v>221</v>
      </c>
      <c r="B49" s="4" t="s">
        <v>199</v>
      </c>
      <c r="C49" s="4" t="s">
        <v>222</v>
      </c>
      <c r="D49" s="4" t="s">
        <v>21</v>
      </c>
      <c r="E49" s="4" t="s">
        <v>223</v>
      </c>
      <c r="F49" s="4" t="s">
        <v>224</v>
      </c>
      <c r="G49" s="4">
        <v>3</v>
      </c>
      <c r="H49" s="4" t="s">
        <v>48</v>
      </c>
      <c r="I49" s="4"/>
      <c r="J49" s="4"/>
      <c r="K49" s="4"/>
      <c r="L49" s="4"/>
      <c r="M49" s="4"/>
      <c r="N49" s="4"/>
      <c r="O49" s="4"/>
      <c r="P49" s="4"/>
      <c r="Q49" s="4" t="s">
        <v>225</v>
      </c>
    </row>
    <row r="50" spans="1:17" ht="23" x14ac:dyDescent="0.35">
      <c r="A50" s="3" t="s">
        <v>226</v>
      </c>
      <c r="B50" s="4" t="s">
        <v>199</v>
      </c>
      <c r="C50" s="4" t="s">
        <v>227</v>
      </c>
      <c r="D50" s="4" t="s">
        <v>21</v>
      </c>
      <c r="E50" s="4" t="s">
        <v>228</v>
      </c>
      <c r="F50" s="4" t="s">
        <v>229</v>
      </c>
      <c r="G50" s="4">
        <v>3</v>
      </c>
      <c r="H50" s="4" t="s">
        <v>157</v>
      </c>
      <c r="I50" s="4">
        <v>0</v>
      </c>
      <c r="J50" s="4"/>
      <c r="K50" s="4"/>
      <c r="L50" s="4"/>
      <c r="M50" s="4"/>
      <c r="N50" s="4"/>
      <c r="O50" s="4"/>
      <c r="P50" s="4" t="s">
        <v>230</v>
      </c>
      <c r="Q50" s="4" t="s">
        <v>231</v>
      </c>
    </row>
    <row r="51" spans="1:17" x14ac:dyDescent="0.35">
      <c r="A51" s="2" t="s">
        <v>232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46" x14ac:dyDescent="0.35">
      <c r="A52" s="3" t="s">
        <v>233</v>
      </c>
      <c r="B52" s="4" t="s">
        <v>234</v>
      </c>
      <c r="C52" s="4" t="s">
        <v>235</v>
      </c>
      <c r="D52" s="4" t="s">
        <v>21</v>
      </c>
      <c r="E52" s="4" t="s">
        <v>236</v>
      </c>
      <c r="F52" s="4" t="s">
        <v>237</v>
      </c>
      <c r="G52" s="4">
        <v>4</v>
      </c>
      <c r="H52" s="4" t="s">
        <v>24</v>
      </c>
      <c r="I52" s="4">
        <v>74896</v>
      </c>
      <c r="J52" s="4"/>
      <c r="K52" s="4"/>
      <c r="L52" s="4"/>
      <c r="M52" s="4" t="s">
        <v>25</v>
      </c>
      <c r="N52" s="4">
        <v>75000</v>
      </c>
      <c r="O52" s="4" t="s">
        <v>238</v>
      </c>
      <c r="P52" s="4"/>
      <c r="Q52" s="4" t="s">
        <v>239</v>
      </c>
    </row>
    <row r="53" spans="1:17" ht="57.5" x14ac:dyDescent="0.35">
      <c r="A53" s="3" t="s">
        <v>240</v>
      </c>
      <c r="B53" s="4" t="s">
        <v>234</v>
      </c>
      <c r="C53" s="4" t="s">
        <v>235</v>
      </c>
      <c r="D53" s="4" t="s">
        <v>21</v>
      </c>
      <c r="E53" s="4" t="s">
        <v>241</v>
      </c>
      <c r="F53" s="4" t="s">
        <v>242</v>
      </c>
      <c r="G53" s="4">
        <v>4</v>
      </c>
      <c r="H53" s="4" t="s">
        <v>157</v>
      </c>
      <c r="I53" s="4">
        <v>0</v>
      </c>
      <c r="J53" s="4"/>
      <c r="K53" s="4"/>
      <c r="L53" s="4"/>
      <c r="M53" s="4"/>
      <c r="N53" s="4"/>
      <c r="O53" s="4" t="s">
        <v>243</v>
      </c>
      <c r="P53" s="4" t="s">
        <v>244</v>
      </c>
      <c r="Q53" s="4" t="s">
        <v>245</v>
      </c>
    </row>
    <row r="54" spans="1:17" x14ac:dyDescent="0.35">
      <c r="A54" s="3" t="s">
        <v>246</v>
      </c>
      <c r="B54" s="4" t="s">
        <v>234</v>
      </c>
      <c r="C54" s="4" t="s">
        <v>235</v>
      </c>
      <c r="D54" s="4" t="s">
        <v>21</v>
      </c>
      <c r="E54" s="4" t="s">
        <v>22</v>
      </c>
      <c r="F54" s="4" t="s">
        <v>247</v>
      </c>
      <c r="G54" s="4">
        <v>4</v>
      </c>
      <c r="H54" s="4" t="s">
        <v>48</v>
      </c>
      <c r="I54" s="4"/>
      <c r="J54" s="4"/>
      <c r="K54" s="4"/>
      <c r="L54" s="4"/>
      <c r="M54" s="4"/>
      <c r="N54" s="4" t="s">
        <v>248</v>
      </c>
      <c r="O54" s="4" t="s">
        <v>49</v>
      </c>
      <c r="P54" s="4"/>
      <c r="Q54" s="4" t="s">
        <v>249</v>
      </c>
    </row>
    <row r="55" spans="1:17" ht="34.5" x14ac:dyDescent="0.35">
      <c r="A55" s="3" t="s">
        <v>250</v>
      </c>
      <c r="B55" s="4" t="s">
        <v>234</v>
      </c>
      <c r="C55" s="4" t="s">
        <v>251</v>
      </c>
      <c r="D55" s="4" t="s">
        <v>21</v>
      </c>
      <c r="E55" s="4" t="s">
        <v>252</v>
      </c>
      <c r="F55" s="4" t="s">
        <v>253</v>
      </c>
      <c r="G55" s="4">
        <v>4</v>
      </c>
      <c r="H55" s="4" t="s">
        <v>157</v>
      </c>
      <c r="I55" s="4">
        <v>0</v>
      </c>
      <c r="J55" s="4"/>
      <c r="K55" s="4"/>
      <c r="L55" s="4"/>
      <c r="M55" s="4"/>
      <c r="N55" s="4"/>
      <c r="O55" s="4"/>
      <c r="P55" s="4" t="s">
        <v>254</v>
      </c>
      <c r="Q55" s="4" t="s">
        <v>255</v>
      </c>
    </row>
    <row r="56" spans="1:17" ht="23" x14ac:dyDescent="0.35">
      <c r="A56" s="3" t="s">
        <v>256</v>
      </c>
      <c r="B56" s="4" t="s">
        <v>257</v>
      </c>
      <c r="C56" s="4" t="s">
        <v>144</v>
      </c>
      <c r="D56" s="4" t="s">
        <v>21</v>
      </c>
      <c r="E56" s="4" t="s">
        <v>258</v>
      </c>
      <c r="F56" s="4" t="s">
        <v>259</v>
      </c>
      <c r="G56" s="4">
        <v>4</v>
      </c>
      <c r="H56" s="4" t="s">
        <v>48</v>
      </c>
      <c r="I56" s="4"/>
      <c r="J56" s="4"/>
      <c r="K56" s="4"/>
      <c r="L56" s="4"/>
      <c r="M56" s="4"/>
      <c r="N56" s="4"/>
      <c r="O56" s="4"/>
      <c r="P56" s="4"/>
      <c r="Q56" s="4" t="s">
        <v>260</v>
      </c>
    </row>
    <row r="57" spans="1:17" x14ac:dyDescent="0.35">
      <c r="A57" s="2" t="s">
        <v>261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23" x14ac:dyDescent="0.35">
      <c r="A58" s="3" t="s">
        <v>262</v>
      </c>
      <c r="B58" s="4" t="s">
        <v>263</v>
      </c>
      <c r="C58" s="4" t="s">
        <v>264</v>
      </c>
      <c r="D58" s="4" t="s">
        <v>21</v>
      </c>
      <c r="E58" s="4" t="s">
        <v>22</v>
      </c>
      <c r="F58" s="4" t="s">
        <v>265</v>
      </c>
      <c r="G58" s="4">
        <v>4</v>
      </c>
      <c r="H58" s="4" t="s">
        <v>157</v>
      </c>
      <c r="I58" s="4">
        <v>0</v>
      </c>
      <c r="J58" s="4"/>
      <c r="K58" s="4"/>
      <c r="L58" s="4"/>
      <c r="M58" s="4"/>
      <c r="N58" s="4"/>
      <c r="O58" s="4"/>
      <c r="P58" s="4" t="s">
        <v>266</v>
      </c>
      <c r="Q58" s="4" t="s">
        <v>267</v>
      </c>
    </row>
    <row r="59" spans="1:17" ht="23" x14ac:dyDescent="0.35">
      <c r="A59" s="3" t="s">
        <v>268</v>
      </c>
      <c r="B59" s="4" t="s">
        <v>263</v>
      </c>
      <c r="C59" s="4" t="s">
        <v>269</v>
      </c>
      <c r="D59" s="4" t="s">
        <v>21</v>
      </c>
      <c r="E59" s="4" t="s">
        <v>270</v>
      </c>
      <c r="F59" s="4" t="s">
        <v>271</v>
      </c>
      <c r="G59" s="4">
        <v>4</v>
      </c>
      <c r="H59" s="4" t="s">
        <v>24</v>
      </c>
      <c r="I59" s="4">
        <v>90260</v>
      </c>
      <c r="J59" s="4"/>
      <c r="K59" s="4"/>
      <c r="L59" s="4"/>
      <c r="M59" s="4" t="s">
        <v>25</v>
      </c>
      <c r="N59" s="4">
        <v>232000</v>
      </c>
      <c r="O59" s="4" t="s">
        <v>272</v>
      </c>
      <c r="P59" s="4"/>
      <c r="Q59" s="4" t="s">
        <v>273</v>
      </c>
    </row>
    <row r="60" spans="1:17" ht="23" x14ac:dyDescent="0.35">
      <c r="A60" s="9" t="s">
        <v>274</v>
      </c>
      <c r="B60" s="10" t="s">
        <v>263</v>
      </c>
      <c r="C60" s="10" t="s">
        <v>275</v>
      </c>
      <c r="D60" s="10" t="s">
        <v>102</v>
      </c>
      <c r="E60" s="10" t="s">
        <v>276</v>
      </c>
      <c r="F60" s="10" t="s">
        <v>277</v>
      </c>
      <c r="G60" s="10">
        <v>4</v>
      </c>
      <c r="H60" s="10" t="s">
        <v>24</v>
      </c>
      <c r="I60" s="10">
        <v>505</v>
      </c>
      <c r="J60" s="10"/>
      <c r="K60" s="10"/>
      <c r="L60" s="10"/>
      <c r="M60" s="10" t="s">
        <v>278</v>
      </c>
      <c r="N60" s="10">
        <v>500</v>
      </c>
      <c r="O60" s="10"/>
      <c r="P60" s="10"/>
      <c r="Q60" s="10" t="s">
        <v>279</v>
      </c>
    </row>
    <row r="61" spans="1:17" ht="23" x14ac:dyDescent="0.35">
      <c r="A61" s="7" t="s">
        <v>280</v>
      </c>
      <c r="B61" s="8" t="s">
        <v>70</v>
      </c>
      <c r="C61" s="8" t="s">
        <v>71</v>
      </c>
      <c r="D61" s="8" t="s">
        <v>72</v>
      </c>
      <c r="E61" s="8" t="s">
        <v>281</v>
      </c>
      <c r="F61" s="8" t="s">
        <v>282</v>
      </c>
      <c r="G61" s="8">
        <v>4</v>
      </c>
      <c r="H61" s="8" t="s">
        <v>75</v>
      </c>
      <c r="I61" s="8"/>
      <c r="J61" s="8"/>
      <c r="K61" s="8"/>
      <c r="L61" s="8"/>
      <c r="M61" s="8"/>
      <c r="N61" s="8"/>
      <c r="O61" s="8"/>
      <c r="P61" s="8"/>
      <c r="Q61" s="8" t="s">
        <v>283</v>
      </c>
    </row>
    <row r="62" spans="1:17" x14ac:dyDescent="0.35">
      <c r="A62" s="3" t="s">
        <v>284</v>
      </c>
      <c r="B62" s="4" t="s">
        <v>263</v>
      </c>
      <c r="C62" s="4" t="s">
        <v>285</v>
      </c>
      <c r="D62" s="4" t="s">
        <v>21</v>
      </c>
      <c r="E62" s="4" t="s">
        <v>286</v>
      </c>
      <c r="F62" s="4" t="s">
        <v>287</v>
      </c>
      <c r="G62" s="4">
        <v>4</v>
      </c>
      <c r="H62" s="4" t="s">
        <v>48</v>
      </c>
      <c r="I62" s="4"/>
      <c r="J62" s="4"/>
      <c r="K62" s="4"/>
      <c r="L62" s="4"/>
      <c r="M62" s="4"/>
      <c r="N62" s="4"/>
      <c r="O62" s="4"/>
      <c r="P62" s="4"/>
      <c r="Q62" s="4" t="s">
        <v>288</v>
      </c>
    </row>
    <row r="63" spans="1:17" ht="23" x14ac:dyDescent="0.35">
      <c r="A63" s="3" t="s">
        <v>289</v>
      </c>
      <c r="B63" s="4"/>
      <c r="C63" s="4"/>
      <c r="D63" s="4"/>
      <c r="E63" s="4"/>
      <c r="F63" s="4"/>
      <c r="G63" s="4">
        <v>4</v>
      </c>
      <c r="H63" s="4" t="s">
        <v>157</v>
      </c>
      <c r="I63" s="4"/>
      <c r="J63" s="4"/>
      <c r="K63" s="4"/>
      <c r="L63" s="4"/>
      <c r="M63" s="4"/>
      <c r="N63" s="4"/>
      <c r="O63" s="4"/>
      <c r="P63" s="4"/>
      <c r="Q63" s="4"/>
    </row>
    <row r="64" spans="1:17" ht="26" x14ac:dyDescent="0.35">
      <c r="A64" s="2" t="s">
        <v>290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57.5" x14ac:dyDescent="0.35">
      <c r="A65" s="7" t="s">
        <v>291</v>
      </c>
      <c r="B65" s="8" t="s">
        <v>70</v>
      </c>
      <c r="C65" s="8" t="s">
        <v>292</v>
      </c>
      <c r="D65" s="8" t="s">
        <v>72</v>
      </c>
      <c r="E65" s="8" t="s">
        <v>293</v>
      </c>
      <c r="F65" s="8" t="s">
        <v>74</v>
      </c>
      <c r="G65" s="8" t="s">
        <v>294</v>
      </c>
      <c r="H65" s="8" t="s">
        <v>75</v>
      </c>
      <c r="I65" s="8"/>
      <c r="J65" s="8"/>
      <c r="K65" s="8"/>
      <c r="L65" s="8"/>
      <c r="M65" s="8"/>
      <c r="N65" s="8"/>
      <c r="O65" s="8"/>
      <c r="P65" s="8"/>
      <c r="Q65" s="8" t="s">
        <v>295</v>
      </c>
    </row>
    <row r="66" spans="1:17" ht="46" x14ac:dyDescent="0.35">
      <c r="A66" s="7" t="s">
        <v>296</v>
      </c>
      <c r="B66" s="8" t="s">
        <v>70</v>
      </c>
      <c r="C66" s="8" t="s">
        <v>297</v>
      </c>
      <c r="D66" s="8" t="s">
        <v>72</v>
      </c>
      <c r="E66" s="8" t="s">
        <v>298</v>
      </c>
      <c r="F66" s="8" t="s">
        <v>74</v>
      </c>
      <c r="G66" s="8" t="s">
        <v>294</v>
      </c>
      <c r="H66" s="8" t="s">
        <v>75</v>
      </c>
      <c r="I66" s="8"/>
      <c r="J66" s="8"/>
      <c r="K66" s="8"/>
      <c r="L66" s="8"/>
      <c r="M66" s="8"/>
      <c r="N66" s="8"/>
      <c r="O66" s="8"/>
      <c r="P66" s="8"/>
      <c r="Q66" s="8" t="s">
        <v>299</v>
      </c>
    </row>
    <row r="67" spans="1:17" ht="23" x14ac:dyDescent="0.35">
      <c r="A67" s="7" t="s">
        <v>300</v>
      </c>
      <c r="B67" s="8" t="s">
        <v>70</v>
      </c>
      <c r="C67" s="8" t="s">
        <v>301</v>
      </c>
      <c r="D67" s="8" t="s">
        <v>72</v>
      </c>
      <c r="E67" s="8" t="s">
        <v>302</v>
      </c>
      <c r="F67" s="8" t="s">
        <v>74</v>
      </c>
      <c r="G67" s="8" t="s">
        <v>294</v>
      </c>
      <c r="H67" s="8" t="s">
        <v>75</v>
      </c>
      <c r="I67" s="8"/>
      <c r="J67" s="8"/>
      <c r="K67" s="8"/>
      <c r="L67" s="8"/>
      <c r="M67" s="8"/>
      <c r="N67" s="8"/>
      <c r="O67" s="8"/>
      <c r="P67" s="8"/>
      <c r="Q67" s="8" t="s">
        <v>303</v>
      </c>
    </row>
    <row r="68" spans="1:17" ht="34.5" x14ac:dyDescent="0.35">
      <c r="A68" s="7" t="s">
        <v>304</v>
      </c>
      <c r="B68" s="8" t="s">
        <v>70</v>
      </c>
      <c r="C68" s="8" t="s">
        <v>305</v>
      </c>
      <c r="D68" s="8" t="s">
        <v>72</v>
      </c>
      <c r="E68" s="8" t="s">
        <v>306</v>
      </c>
      <c r="F68" s="8" t="s">
        <v>74</v>
      </c>
      <c r="G68" s="8" t="s">
        <v>294</v>
      </c>
      <c r="H68" s="8" t="s">
        <v>75</v>
      </c>
      <c r="I68" s="8"/>
      <c r="J68" s="8"/>
      <c r="K68" s="8"/>
      <c r="L68" s="8"/>
      <c r="M68" s="8"/>
      <c r="N68" s="8"/>
      <c r="O68" s="8"/>
      <c r="P68" s="8"/>
      <c r="Q68" s="8" t="s">
        <v>307</v>
      </c>
    </row>
    <row r="69" spans="1:17" x14ac:dyDescent="0.35">
      <c r="A69" s="7" t="s">
        <v>308</v>
      </c>
      <c r="B69" s="8" t="s">
        <v>70</v>
      </c>
      <c r="C69" s="8" t="s">
        <v>71</v>
      </c>
      <c r="D69" s="8" t="s">
        <v>72</v>
      </c>
      <c r="E69" s="8" t="s">
        <v>73</v>
      </c>
      <c r="F69" s="8" t="s">
        <v>74</v>
      </c>
      <c r="G69" s="8" t="s">
        <v>294</v>
      </c>
      <c r="H69" s="8" t="s">
        <v>75</v>
      </c>
      <c r="I69" s="8"/>
      <c r="J69" s="8"/>
      <c r="K69" s="8"/>
      <c r="L69" s="8"/>
      <c r="M69" s="8"/>
      <c r="N69" s="8"/>
      <c r="O69" s="8"/>
      <c r="P69" s="8"/>
      <c r="Q69" s="8" t="s">
        <v>309</v>
      </c>
    </row>
    <row r="71" spans="1:17" ht="46" x14ac:dyDescent="0.35">
      <c r="A71" t="s">
        <v>310</v>
      </c>
      <c r="H71" s="12" t="s">
        <v>311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zoomScaleNormal="100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6328125" defaultRowHeight="14.5" x14ac:dyDescent="0.35"/>
  <cols>
    <col min="1" max="1" width="36" customWidth="1"/>
    <col min="2" max="3" width="13" customWidth="1"/>
    <col min="4" max="4" width="9" customWidth="1"/>
    <col min="5" max="5" width="62" customWidth="1"/>
  </cols>
  <sheetData>
    <row r="1" spans="1:5" x14ac:dyDescent="0.35">
      <c r="A1" s="13" t="s">
        <v>312</v>
      </c>
      <c r="B1" s="13" t="s">
        <v>313</v>
      </c>
      <c r="C1" s="13" t="s">
        <v>314</v>
      </c>
      <c r="D1" s="13" t="s">
        <v>315</v>
      </c>
      <c r="E1" s="13" t="s">
        <v>316</v>
      </c>
    </row>
    <row r="2" spans="1:5" x14ac:dyDescent="0.35">
      <c r="A2" s="14" t="s">
        <v>317</v>
      </c>
      <c r="B2" s="14">
        <v>6378048</v>
      </c>
      <c r="C2" s="14">
        <v>6378048</v>
      </c>
      <c r="D2" s="14" t="s">
        <v>318</v>
      </c>
      <c r="E2" s="14" t="s">
        <v>319</v>
      </c>
    </row>
    <row r="3" spans="1:5" x14ac:dyDescent="0.35">
      <c r="A3" s="14" t="s">
        <v>320</v>
      </c>
      <c r="B3" s="14">
        <v>1220216</v>
      </c>
      <c r="C3" s="14">
        <v>1220216</v>
      </c>
      <c r="D3" s="14" t="s">
        <v>318</v>
      </c>
      <c r="E3" s="14" t="s">
        <v>319</v>
      </c>
    </row>
    <row r="4" spans="1:5" x14ac:dyDescent="0.35">
      <c r="A4" s="14" t="s">
        <v>321</v>
      </c>
      <c r="B4" s="14">
        <v>748206</v>
      </c>
      <c r="C4" s="14">
        <v>748206</v>
      </c>
      <c r="D4" s="14" t="s">
        <v>318</v>
      </c>
      <c r="E4" s="14" t="s">
        <v>322</v>
      </c>
    </row>
    <row r="5" spans="1:5" x14ac:dyDescent="0.35">
      <c r="A5" s="14" t="s">
        <v>323</v>
      </c>
      <c r="B5" s="14">
        <v>734807</v>
      </c>
      <c r="C5" s="14">
        <v>850000</v>
      </c>
      <c r="D5" s="14" t="s">
        <v>324</v>
      </c>
      <c r="E5" s="14" t="s">
        <v>325</v>
      </c>
    </row>
    <row r="6" spans="1:5" x14ac:dyDescent="0.35">
      <c r="A6" s="14" t="s">
        <v>326</v>
      </c>
      <c r="B6" s="14">
        <v>293399</v>
      </c>
      <c r="C6" s="14">
        <v>293399</v>
      </c>
      <c r="D6" s="14" t="s">
        <v>318</v>
      </c>
      <c r="E6" s="14" t="s">
        <v>319</v>
      </c>
    </row>
    <row r="7" spans="1:5" x14ac:dyDescent="0.35">
      <c r="A7" s="14" t="s">
        <v>327</v>
      </c>
      <c r="B7" s="14">
        <v>237184</v>
      </c>
      <c r="C7" s="14">
        <v>237184</v>
      </c>
      <c r="D7" s="14" t="s">
        <v>318</v>
      </c>
      <c r="E7" s="14" t="s">
        <v>319</v>
      </c>
    </row>
    <row r="8" spans="1:5" x14ac:dyDescent="0.35">
      <c r="A8" s="14" t="s">
        <v>328</v>
      </c>
      <c r="B8" s="14">
        <v>233492</v>
      </c>
      <c r="C8" s="14">
        <v>233492</v>
      </c>
      <c r="D8" s="14" t="s">
        <v>318</v>
      </c>
      <c r="E8" s="14" t="s">
        <v>329</v>
      </c>
    </row>
    <row r="9" spans="1:5" x14ac:dyDescent="0.35">
      <c r="A9" s="14" t="s">
        <v>330</v>
      </c>
      <c r="B9" s="14">
        <v>173449</v>
      </c>
      <c r="C9" s="14">
        <v>173449</v>
      </c>
      <c r="D9" s="14" t="s">
        <v>318</v>
      </c>
      <c r="E9" s="14" t="s">
        <v>319</v>
      </c>
    </row>
    <row r="10" spans="1:5" x14ac:dyDescent="0.35">
      <c r="A10" s="14" t="s">
        <v>331</v>
      </c>
      <c r="B10" s="14">
        <v>174552</v>
      </c>
      <c r="C10" s="14">
        <v>174552</v>
      </c>
      <c r="D10" s="14" t="s">
        <v>318</v>
      </c>
      <c r="E10" s="14" t="s">
        <v>319</v>
      </c>
    </row>
    <row r="11" spans="1:5" x14ac:dyDescent="0.35">
      <c r="A11" s="14" t="s">
        <v>332</v>
      </c>
      <c r="B11" s="14">
        <v>171278</v>
      </c>
      <c r="C11" s="14">
        <v>171278</v>
      </c>
      <c r="D11" s="14" t="s">
        <v>318</v>
      </c>
      <c r="E11" s="14" t="s">
        <v>333</v>
      </c>
    </row>
    <row r="12" spans="1:5" x14ac:dyDescent="0.35">
      <c r="A12" s="14" t="s">
        <v>334</v>
      </c>
      <c r="B12" s="14">
        <v>90838</v>
      </c>
      <c r="C12" s="14">
        <v>90838</v>
      </c>
      <c r="D12" s="14" t="s">
        <v>318</v>
      </c>
      <c r="E12" s="14" t="s">
        <v>319</v>
      </c>
    </row>
    <row r="13" spans="1:5" x14ac:dyDescent="0.35">
      <c r="A13" s="14" t="s">
        <v>335</v>
      </c>
      <c r="B13" s="14">
        <v>90260</v>
      </c>
      <c r="C13" s="14">
        <v>90260</v>
      </c>
      <c r="D13" s="14" t="s">
        <v>318</v>
      </c>
      <c r="E13" s="14" t="s">
        <v>319</v>
      </c>
    </row>
    <row r="14" spans="1:5" x14ac:dyDescent="0.35">
      <c r="A14" s="14" t="s">
        <v>336</v>
      </c>
      <c r="B14" s="14">
        <v>83407</v>
      </c>
      <c r="C14" s="14">
        <v>140000</v>
      </c>
      <c r="D14" s="14" t="s">
        <v>34</v>
      </c>
      <c r="E14" s="14" t="s">
        <v>337</v>
      </c>
    </row>
    <row r="15" spans="1:5" x14ac:dyDescent="0.35">
      <c r="A15" s="14" t="s">
        <v>338</v>
      </c>
      <c r="B15" s="14">
        <v>74896</v>
      </c>
      <c r="C15" s="14">
        <v>74896</v>
      </c>
      <c r="D15" s="14" t="s">
        <v>318</v>
      </c>
      <c r="E15" s="14" t="s">
        <v>319</v>
      </c>
    </row>
    <row r="16" spans="1:5" x14ac:dyDescent="0.35">
      <c r="A16" s="14" t="s">
        <v>339</v>
      </c>
      <c r="B16" s="14">
        <v>69529</v>
      </c>
      <c r="C16" s="14">
        <v>69529</v>
      </c>
      <c r="D16" s="14" t="s">
        <v>318</v>
      </c>
      <c r="E16" s="14" t="s">
        <v>319</v>
      </c>
    </row>
    <row r="17" spans="1:5" x14ac:dyDescent="0.35">
      <c r="A17" s="14" t="s">
        <v>340</v>
      </c>
      <c r="B17" s="14">
        <v>69136</v>
      </c>
      <c r="C17" s="14">
        <v>69136</v>
      </c>
      <c r="D17" s="14" t="s">
        <v>318</v>
      </c>
      <c r="E17" s="14" t="s">
        <v>319</v>
      </c>
    </row>
    <row r="18" spans="1:5" x14ac:dyDescent="0.35">
      <c r="A18" s="14" t="s">
        <v>341</v>
      </c>
      <c r="B18" s="14">
        <v>61111</v>
      </c>
      <c r="C18" s="14">
        <v>61111</v>
      </c>
      <c r="D18" s="14" t="s">
        <v>318</v>
      </c>
      <c r="E18" s="14" t="s">
        <v>342</v>
      </c>
    </row>
    <row r="19" spans="1:5" x14ac:dyDescent="0.35">
      <c r="A19" s="14" t="s">
        <v>343</v>
      </c>
      <c r="B19" s="14">
        <v>8940</v>
      </c>
      <c r="C19" s="14">
        <v>142398</v>
      </c>
      <c r="D19" s="14" t="s">
        <v>344</v>
      </c>
      <c r="E19" s="14" t="s">
        <v>345</v>
      </c>
    </row>
    <row r="20" spans="1:5" x14ac:dyDescent="0.35">
      <c r="A20" s="14" t="s">
        <v>346</v>
      </c>
      <c r="B20" s="14">
        <v>2341</v>
      </c>
      <c r="C20" s="14">
        <v>50853</v>
      </c>
      <c r="D20" s="14" t="s">
        <v>347</v>
      </c>
      <c r="E20" s="14" t="s">
        <v>348</v>
      </c>
    </row>
    <row r="21" spans="1:5" x14ac:dyDescent="0.35">
      <c r="A21" s="14" t="s">
        <v>349</v>
      </c>
      <c r="B21" s="14">
        <v>44409</v>
      </c>
      <c r="C21" s="14">
        <v>44409</v>
      </c>
      <c r="D21" s="14" t="s">
        <v>318</v>
      </c>
      <c r="E21" s="14" t="s">
        <v>319</v>
      </c>
    </row>
    <row r="22" spans="1:5" x14ac:dyDescent="0.35">
      <c r="A22" s="14" t="s">
        <v>350</v>
      </c>
      <c r="B22" s="14">
        <v>14067</v>
      </c>
      <c r="C22" s="14">
        <v>14067</v>
      </c>
      <c r="D22" s="14" t="s">
        <v>318</v>
      </c>
      <c r="E22" s="14" t="s">
        <v>319</v>
      </c>
    </row>
    <row r="23" spans="1:5" x14ac:dyDescent="0.35">
      <c r="A23" s="14" t="s">
        <v>351</v>
      </c>
      <c r="B23" s="14">
        <v>12089</v>
      </c>
      <c r="C23" s="14">
        <v>13037</v>
      </c>
      <c r="D23" s="14" t="s">
        <v>352</v>
      </c>
      <c r="E23" s="14" t="s">
        <v>353</v>
      </c>
    </row>
    <row r="24" spans="1:5" x14ac:dyDescent="0.35">
      <c r="A24" s="14" t="s">
        <v>354</v>
      </c>
      <c r="B24" s="14">
        <v>0</v>
      </c>
      <c r="C24" s="14">
        <v>10864</v>
      </c>
      <c r="D24" s="14" t="s">
        <v>355</v>
      </c>
      <c r="E24" s="14" t="s">
        <v>356</v>
      </c>
    </row>
    <row r="25" spans="1:5" x14ac:dyDescent="0.35">
      <c r="A25" s="14" t="s">
        <v>357</v>
      </c>
      <c r="B25" s="14">
        <v>7642</v>
      </c>
      <c r="C25" s="14">
        <v>7642</v>
      </c>
      <c r="D25" s="14" t="s">
        <v>318</v>
      </c>
      <c r="E25" s="14" t="s">
        <v>319</v>
      </c>
    </row>
    <row r="26" spans="1:5" x14ac:dyDescent="0.35">
      <c r="A26" s="14" t="s">
        <v>358</v>
      </c>
      <c r="B26" s="14">
        <v>3574</v>
      </c>
      <c r="C26" s="14">
        <v>3574</v>
      </c>
      <c r="D26" s="14" t="s">
        <v>318</v>
      </c>
      <c r="E26" s="14" t="s">
        <v>319</v>
      </c>
    </row>
    <row r="27" spans="1:5" x14ac:dyDescent="0.35">
      <c r="A27" s="14" t="s">
        <v>359</v>
      </c>
      <c r="B27" s="14">
        <v>3661</v>
      </c>
      <c r="C27" s="14">
        <v>3661</v>
      </c>
      <c r="D27" s="14" t="s">
        <v>318</v>
      </c>
      <c r="E27" s="14" t="s">
        <v>360</v>
      </c>
    </row>
    <row r="28" spans="1:5" x14ac:dyDescent="0.35">
      <c r="A28" s="14" t="s">
        <v>361</v>
      </c>
      <c r="B28" s="14">
        <v>2570</v>
      </c>
      <c r="C28" s="14">
        <v>2755</v>
      </c>
      <c r="D28" s="14" t="s">
        <v>362</v>
      </c>
      <c r="E28" s="14" t="s">
        <v>363</v>
      </c>
    </row>
    <row r="29" spans="1:5" x14ac:dyDescent="0.35">
      <c r="A29" s="14" t="s">
        <v>364</v>
      </c>
      <c r="B29" s="14">
        <v>407</v>
      </c>
      <c r="C29" s="14">
        <v>1279</v>
      </c>
      <c r="D29" s="14" t="s">
        <v>365</v>
      </c>
      <c r="E29" s="14" t="s">
        <v>366</v>
      </c>
    </row>
    <row r="30" spans="1:5" x14ac:dyDescent="0.35">
      <c r="A30" s="14" t="s">
        <v>367</v>
      </c>
      <c r="B30" s="14">
        <v>0</v>
      </c>
      <c r="C30" s="14">
        <v>560</v>
      </c>
      <c r="D30" s="14" t="s">
        <v>355</v>
      </c>
      <c r="E30" s="14" t="s">
        <v>356</v>
      </c>
    </row>
    <row r="31" spans="1:5" x14ac:dyDescent="0.35">
      <c r="A31" s="14" t="s">
        <v>368</v>
      </c>
      <c r="B31" s="14">
        <v>0</v>
      </c>
      <c r="C31" s="14">
        <v>162004</v>
      </c>
      <c r="D31" s="14" t="s">
        <v>355</v>
      </c>
      <c r="E31" s="14" t="s">
        <v>369</v>
      </c>
    </row>
    <row r="32" spans="1:5" x14ac:dyDescent="0.35">
      <c r="A32" s="14" t="s">
        <v>370</v>
      </c>
      <c r="B32" s="14">
        <v>0</v>
      </c>
      <c r="C32" s="14">
        <v>5000</v>
      </c>
      <c r="D32" s="14" t="s">
        <v>355</v>
      </c>
      <c r="E32" s="14" t="s">
        <v>371</v>
      </c>
    </row>
    <row r="33" spans="1:5" x14ac:dyDescent="0.35">
      <c r="A33" s="14" t="s">
        <v>372</v>
      </c>
      <c r="B33" s="14">
        <v>0</v>
      </c>
      <c r="C33" s="14">
        <v>4471</v>
      </c>
      <c r="D33" s="14" t="s">
        <v>355</v>
      </c>
      <c r="E33" s="14" t="s">
        <v>373</v>
      </c>
    </row>
    <row r="34" spans="1:5" x14ac:dyDescent="0.35">
      <c r="A34" s="14" t="s">
        <v>374</v>
      </c>
      <c r="B34" s="14">
        <v>0</v>
      </c>
      <c r="C34" s="14">
        <v>20000</v>
      </c>
      <c r="D34" s="14" t="s">
        <v>355</v>
      </c>
      <c r="E34" s="14" t="s">
        <v>375</v>
      </c>
    </row>
    <row r="35" spans="1:5" x14ac:dyDescent="0.35">
      <c r="A35" s="14" t="s">
        <v>376</v>
      </c>
      <c r="B35" s="14">
        <v>0</v>
      </c>
      <c r="C35" s="14">
        <v>8000</v>
      </c>
      <c r="D35" s="14" t="s">
        <v>355</v>
      </c>
      <c r="E35" s="14" t="s">
        <v>377</v>
      </c>
    </row>
    <row r="36" spans="1:5" x14ac:dyDescent="0.35">
      <c r="A36" s="14" t="s">
        <v>378</v>
      </c>
      <c r="B36" s="14">
        <v>0</v>
      </c>
      <c r="C36" s="14"/>
      <c r="D36" s="14"/>
      <c r="E36" s="14" t="s">
        <v>379</v>
      </c>
    </row>
    <row r="37" spans="1:5" x14ac:dyDescent="0.35">
      <c r="A37" s="14" t="s">
        <v>380</v>
      </c>
      <c r="B37" s="14">
        <v>0</v>
      </c>
      <c r="C37" s="14"/>
      <c r="D37" s="14"/>
      <c r="E37" s="14" t="s">
        <v>381</v>
      </c>
    </row>
    <row r="38" spans="1:5" x14ac:dyDescent="0.35">
      <c r="A38" s="14" t="s">
        <v>382</v>
      </c>
      <c r="B38" s="14">
        <v>2700</v>
      </c>
      <c r="C38" s="14">
        <v>2700</v>
      </c>
      <c r="D38" s="14" t="s">
        <v>318</v>
      </c>
      <c r="E38" s="14" t="s">
        <v>383</v>
      </c>
    </row>
    <row r="39" spans="1:5" x14ac:dyDescent="0.35">
      <c r="A39" s="14"/>
      <c r="B39" s="14"/>
      <c r="C39" s="14"/>
      <c r="D39" s="14"/>
      <c r="E39" s="14"/>
    </row>
    <row r="40" spans="1:5" x14ac:dyDescent="0.35">
      <c r="A40" s="15" t="s">
        <v>384</v>
      </c>
      <c r="B40" s="15">
        <v>11949946</v>
      </c>
      <c r="C40" s="15">
        <v>12362433</v>
      </c>
      <c r="D40" s="15" t="s">
        <v>385</v>
      </c>
      <c r="E40" s="15" t="s">
        <v>386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8"/>
  <sheetViews>
    <sheetView zoomScaleNormal="100" workbookViewId="0">
      <pane xSplit="2" ySplit="3" topLeftCell="C40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8.6328125" defaultRowHeight="14.5" x14ac:dyDescent="0.35"/>
  <cols>
    <col min="1" max="1" width="5" customWidth="1"/>
    <col min="2" max="2" width="42" customWidth="1"/>
    <col min="3" max="3" width="26" customWidth="1"/>
    <col min="4" max="4" width="9" customWidth="1"/>
    <col min="5" max="6" width="12" customWidth="1"/>
    <col min="7" max="7" width="11" customWidth="1"/>
    <col min="8" max="9" width="10" customWidth="1"/>
    <col min="10" max="10" width="46" customWidth="1"/>
  </cols>
  <sheetData>
    <row r="1" spans="1:10" x14ac:dyDescent="0.35">
      <c r="A1" s="15" t="s">
        <v>387</v>
      </c>
    </row>
    <row r="3" spans="1:10" x14ac:dyDescent="0.35">
      <c r="A3" s="13" t="s">
        <v>388</v>
      </c>
      <c r="B3" s="13" t="s">
        <v>389</v>
      </c>
      <c r="C3" s="13" t="s">
        <v>390</v>
      </c>
      <c r="D3" s="13" t="s">
        <v>7</v>
      </c>
      <c r="E3" s="13" t="s">
        <v>391</v>
      </c>
      <c r="F3" s="13" t="s">
        <v>392</v>
      </c>
      <c r="G3" s="13" t="s">
        <v>124</v>
      </c>
      <c r="H3" s="13" t="s">
        <v>393</v>
      </c>
      <c r="I3" s="13" t="s">
        <v>394</v>
      </c>
      <c r="J3" s="13" t="s">
        <v>395</v>
      </c>
    </row>
    <row r="4" spans="1:10" x14ac:dyDescent="0.35">
      <c r="A4" s="14" t="s">
        <v>396</v>
      </c>
      <c r="B4" s="14" t="s">
        <v>397</v>
      </c>
      <c r="C4" s="14" t="s">
        <v>398</v>
      </c>
      <c r="D4" s="14" t="s">
        <v>399</v>
      </c>
      <c r="E4" s="14">
        <v>687</v>
      </c>
      <c r="F4" s="14">
        <v>0</v>
      </c>
      <c r="G4" s="14">
        <v>603</v>
      </c>
      <c r="H4" s="14">
        <v>62</v>
      </c>
      <c r="I4" s="14">
        <v>0</v>
      </c>
      <c r="J4" s="14"/>
    </row>
    <row r="5" spans="1:10" x14ac:dyDescent="0.35">
      <c r="A5" s="14" t="s">
        <v>396</v>
      </c>
      <c r="B5" s="14" t="s">
        <v>400</v>
      </c>
      <c r="C5" s="14" t="s">
        <v>401</v>
      </c>
      <c r="D5" s="14" t="s">
        <v>399</v>
      </c>
      <c r="E5" s="14">
        <v>2302</v>
      </c>
      <c r="F5" s="14">
        <v>0</v>
      </c>
      <c r="G5" s="14">
        <v>0</v>
      </c>
      <c r="H5" s="14">
        <v>6</v>
      </c>
      <c r="I5" s="14">
        <v>2287</v>
      </c>
      <c r="J5" s="14" t="s">
        <v>402</v>
      </c>
    </row>
    <row r="6" spans="1:10" x14ac:dyDescent="0.35">
      <c r="A6" s="14" t="s">
        <v>396</v>
      </c>
      <c r="B6" s="14" t="s">
        <v>403</v>
      </c>
      <c r="C6" s="14" t="s">
        <v>401</v>
      </c>
      <c r="D6" s="14" t="s">
        <v>399</v>
      </c>
      <c r="E6" s="14">
        <v>2217</v>
      </c>
      <c r="F6" s="14">
        <v>0</v>
      </c>
      <c r="G6" s="14">
        <v>0</v>
      </c>
      <c r="H6" s="14">
        <v>0</v>
      </c>
      <c r="I6" s="14">
        <v>2213</v>
      </c>
      <c r="J6" s="14" t="s">
        <v>402</v>
      </c>
    </row>
    <row r="7" spans="1:10" x14ac:dyDescent="0.35">
      <c r="A7" s="14" t="s">
        <v>396</v>
      </c>
      <c r="B7" s="14" t="s">
        <v>404</v>
      </c>
      <c r="C7" s="14" t="s">
        <v>405</v>
      </c>
      <c r="D7" s="14" t="s">
        <v>399</v>
      </c>
      <c r="E7" s="14">
        <v>7639</v>
      </c>
      <c r="F7" s="14">
        <v>186</v>
      </c>
      <c r="G7" s="14">
        <v>0</v>
      </c>
      <c r="H7" s="14">
        <v>483</v>
      </c>
      <c r="I7" s="14">
        <v>330</v>
      </c>
      <c r="J7" s="14"/>
    </row>
    <row r="8" spans="1:10" x14ac:dyDescent="0.35">
      <c r="A8" s="14" t="s">
        <v>396</v>
      </c>
      <c r="B8" s="14" t="s">
        <v>406</v>
      </c>
      <c r="C8" s="14" t="s">
        <v>407</v>
      </c>
      <c r="D8" s="14" t="s">
        <v>399</v>
      </c>
      <c r="E8" s="14">
        <v>1663</v>
      </c>
      <c r="F8" s="14">
        <v>0</v>
      </c>
      <c r="G8" s="14">
        <v>0</v>
      </c>
      <c r="H8" s="14">
        <v>8</v>
      </c>
      <c r="I8" s="14">
        <v>1639</v>
      </c>
      <c r="J8" s="14" t="s">
        <v>402</v>
      </c>
    </row>
    <row r="9" spans="1:10" x14ac:dyDescent="0.35">
      <c r="A9" s="14" t="s">
        <v>396</v>
      </c>
      <c r="B9" s="14" t="s">
        <v>408</v>
      </c>
      <c r="C9" s="14" t="s">
        <v>407</v>
      </c>
      <c r="D9" s="14" t="s">
        <v>399</v>
      </c>
      <c r="E9" s="14">
        <v>1742</v>
      </c>
      <c r="F9" s="14">
        <v>78</v>
      </c>
      <c r="G9" s="14">
        <v>0</v>
      </c>
      <c r="H9" s="14">
        <v>158</v>
      </c>
      <c r="I9" s="14">
        <v>441</v>
      </c>
      <c r="J9" s="14" t="s">
        <v>402</v>
      </c>
    </row>
    <row r="10" spans="1:10" x14ac:dyDescent="0.35">
      <c r="A10" s="14" t="s">
        <v>396</v>
      </c>
      <c r="B10" s="14" t="s">
        <v>409</v>
      </c>
      <c r="C10" s="14" t="s">
        <v>410</v>
      </c>
      <c r="D10" s="14" t="s">
        <v>399</v>
      </c>
      <c r="E10" s="14">
        <v>1059</v>
      </c>
      <c r="F10" s="14">
        <v>79</v>
      </c>
      <c r="G10" s="14">
        <v>148</v>
      </c>
      <c r="H10" s="14">
        <v>182</v>
      </c>
      <c r="I10" s="14">
        <v>40</v>
      </c>
      <c r="J10" s="14"/>
    </row>
    <row r="11" spans="1:10" x14ac:dyDescent="0.35">
      <c r="A11" s="14" t="s">
        <v>396</v>
      </c>
      <c r="B11" s="14" t="s">
        <v>411</v>
      </c>
      <c r="C11" s="14" t="s">
        <v>407</v>
      </c>
      <c r="D11" s="14" t="s">
        <v>399</v>
      </c>
      <c r="E11" s="14">
        <v>1220</v>
      </c>
      <c r="F11" s="14">
        <v>43</v>
      </c>
      <c r="G11" s="14">
        <v>0</v>
      </c>
      <c r="H11" s="14">
        <v>825</v>
      </c>
      <c r="I11" s="14">
        <v>0</v>
      </c>
      <c r="J11" s="14"/>
    </row>
    <row r="12" spans="1:10" x14ac:dyDescent="0.35">
      <c r="A12" s="14" t="s">
        <v>396</v>
      </c>
      <c r="B12" s="14" t="s">
        <v>412</v>
      </c>
      <c r="C12" s="14" t="s">
        <v>407</v>
      </c>
      <c r="D12" s="14" t="s">
        <v>399</v>
      </c>
      <c r="E12" s="14">
        <v>1256</v>
      </c>
      <c r="F12" s="14">
        <v>4</v>
      </c>
      <c r="G12" s="14">
        <v>0</v>
      </c>
      <c r="H12" s="14">
        <v>918</v>
      </c>
      <c r="I12" s="14">
        <v>0</v>
      </c>
      <c r="J12" s="14"/>
    </row>
    <row r="13" spans="1:10" x14ac:dyDescent="0.35">
      <c r="A13" s="14" t="s">
        <v>396</v>
      </c>
      <c r="B13" s="14" t="s">
        <v>413</v>
      </c>
      <c r="C13" s="14" t="s">
        <v>398</v>
      </c>
      <c r="D13" s="14" t="s">
        <v>399</v>
      </c>
      <c r="E13" s="14">
        <v>1416</v>
      </c>
      <c r="F13" s="14">
        <v>4</v>
      </c>
      <c r="G13" s="14">
        <v>0</v>
      </c>
      <c r="H13" s="14">
        <v>955</v>
      </c>
      <c r="I13" s="14">
        <v>0</v>
      </c>
      <c r="J13" s="14"/>
    </row>
    <row r="14" spans="1:10" x14ac:dyDescent="0.35">
      <c r="A14" s="14" t="s">
        <v>396</v>
      </c>
      <c r="B14" s="14" t="s">
        <v>414</v>
      </c>
      <c r="C14" s="14" t="s">
        <v>415</v>
      </c>
      <c r="D14" s="14" t="s">
        <v>399</v>
      </c>
      <c r="E14" s="14">
        <v>1105</v>
      </c>
      <c r="F14" s="14">
        <v>16</v>
      </c>
      <c r="G14" s="14">
        <v>0</v>
      </c>
      <c r="H14" s="14">
        <v>19</v>
      </c>
      <c r="I14" s="14">
        <v>837</v>
      </c>
      <c r="J14" s="14" t="s">
        <v>402</v>
      </c>
    </row>
    <row r="15" spans="1:10" x14ac:dyDescent="0.35">
      <c r="A15" s="14" t="s">
        <v>396</v>
      </c>
      <c r="B15" s="14" t="s">
        <v>416</v>
      </c>
      <c r="C15" s="14" t="s">
        <v>415</v>
      </c>
      <c r="D15" s="14" t="s">
        <v>399</v>
      </c>
      <c r="E15" s="14">
        <v>964</v>
      </c>
      <c r="F15" s="14">
        <v>0</v>
      </c>
      <c r="G15" s="14">
        <v>0</v>
      </c>
      <c r="H15" s="14">
        <v>5</v>
      </c>
      <c r="I15" s="14">
        <v>929</v>
      </c>
      <c r="J15" s="14" t="s">
        <v>402</v>
      </c>
    </row>
    <row r="16" spans="1:10" x14ac:dyDescent="0.35">
      <c r="A16" s="14" t="s">
        <v>396</v>
      </c>
      <c r="B16" s="14" t="s">
        <v>417</v>
      </c>
      <c r="C16" s="14" t="s">
        <v>407</v>
      </c>
      <c r="D16" s="14" t="s">
        <v>399</v>
      </c>
      <c r="E16" s="14">
        <v>1573</v>
      </c>
      <c r="F16" s="14">
        <v>0</v>
      </c>
      <c r="G16" s="14">
        <v>0</v>
      </c>
      <c r="H16" s="14">
        <v>698</v>
      </c>
      <c r="I16" s="14">
        <v>0</v>
      </c>
      <c r="J16" s="14"/>
    </row>
    <row r="17" spans="1:10" x14ac:dyDescent="0.35">
      <c r="A17" s="14" t="s">
        <v>396</v>
      </c>
      <c r="B17" s="14" t="s">
        <v>418</v>
      </c>
      <c r="C17" s="14" t="s">
        <v>407</v>
      </c>
      <c r="D17" s="14" t="s">
        <v>399</v>
      </c>
      <c r="E17" s="14">
        <v>943</v>
      </c>
      <c r="F17" s="14">
        <v>1</v>
      </c>
      <c r="G17" s="14">
        <v>1</v>
      </c>
      <c r="H17" s="14">
        <v>233</v>
      </c>
      <c r="I17" s="14">
        <v>346</v>
      </c>
      <c r="J17" s="14" t="s">
        <v>402</v>
      </c>
    </row>
    <row r="18" spans="1:10" x14ac:dyDescent="0.35">
      <c r="A18" s="14" t="s">
        <v>396</v>
      </c>
      <c r="B18" s="14" t="s">
        <v>419</v>
      </c>
      <c r="C18" s="14" t="s">
        <v>405</v>
      </c>
      <c r="D18" s="14" t="s">
        <v>399</v>
      </c>
      <c r="E18" s="14">
        <v>1189</v>
      </c>
      <c r="F18" s="14">
        <v>58</v>
      </c>
      <c r="G18" s="14">
        <v>0</v>
      </c>
      <c r="H18" s="14">
        <v>239</v>
      </c>
      <c r="I18" s="14">
        <v>52</v>
      </c>
      <c r="J18" s="14"/>
    </row>
    <row r="19" spans="1:10" x14ac:dyDescent="0.35">
      <c r="A19" s="14" t="s">
        <v>396</v>
      </c>
      <c r="B19" s="14" t="s">
        <v>420</v>
      </c>
      <c r="C19" s="14" t="s">
        <v>421</v>
      </c>
      <c r="D19" s="14" t="s">
        <v>399</v>
      </c>
      <c r="E19" s="14">
        <v>586</v>
      </c>
      <c r="F19" s="14">
        <v>0</v>
      </c>
      <c r="G19" s="14">
        <v>0</v>
      </c>
      <c r="H19" s="14">
        <v>1</v>
      </c>
      <c r="I19" s="14">
        <v>571</v>
      </c>
      <c r="J19" s="14" t="s">
        <v>402</v>
      </c>
    </row>
    <row r="20" spans="1:10" x14ac:dyDescent="0.35">
      <c r="A20" s="14" t="s">
        <v>396</v>
      </c>
      <c r="B20" s="14" t="s">
        <v>422</v>
      </c>
      <c r="C20" s="14" t="s">
        <v>401</v>
      </c>
      <c r="D20" s="14" t="s">
        <v>399</v>
      </c>
      <c r="E20" s="14">
        <v>1587</v>
      </c>
      <c r="F20" s="14">
        <v>0</v>
      </c>
      <c r="G20" s="14">
        <v>0</v>
      </c>
      <c r="H20" s="14">
        <v>6</v>
      </c>
      <c r="I20" s="14">
        <v>525</v>
      </c>
      <c r="J20" s="14" t="s">
        <v>402</v>
      </c>
    </row>
    <row r="21" spans="1:10" x14ac:dyDescent="0.35">
      <c r="A21" s="14" t="s">
        <v>396</v>
      </c>
      <c r="B21" s="14" t="s">
        <v>423</v>
      </c>
      <c r="C21" s="14" t="s">
        <v>405</v>
      </c>
      <c r="D21" s="14" t="s">
        <v>399</v>
      </c>
      <c r="E21" s="14">
        <v>736</v>
      </c>
      <c r="F21" s="14">
        <v>64</v>
      </c>
      <c r="G21" s="14">
        <v>0</v>
      </c>
      <c r="H21" s="14">
        <v>104</v>
      </c>
      <c r="I21" s="14">
        <v>59</v>
      </c>
      <c r="J21" s="14"/>
    </row>
    <row r="22" spans="1:10" x14ac:dyDescent="0.35">
      <c r="A22" s="14" t="s">
        <v>396</v>
      </c>
      <c r="B22" s="14" t="s">
        <v>424</v>
      </c>
      <c r="C22" s="14" t="s">
        <v>407</v>
      </c>
      <c r="D22" s="14" t="s">
        <v>399</v>
      </c>
      <c r="E22" s="14">
        <v>652</v>
      </c>
      <c r="F22" s="14">
        <v>5</v>
      </c>
      <c r="G22" s="14">
        <v>0</v>
      </c>
      <c r="H22" s="14">
        <v>239</v>
      </c>
      <c r="I22" s="14">
        <v>0</v>
      </c>
      <c r="J22" s="14"/>
    </row>
    <row r="23" spans="1:10" x14ac:dyDescent="0.35">
      <c r="A23" s="14" t="s">
        <v>396</v>
      </c>
      <c r="B23" s="14" t="s">
        <v>425</v>
      </c>
      <c r="C23" s="14" t="s">
        <v>426</v>
      </c>
      <c r="D23" s="14" t="s">
        <v>427</v>
      </c>
      <c r="E23" s="14">
        <v>251</v>
      </c>
      <c r="F23" s="14">
        <v>77</v>
      </c>
      <c r="G23" s="14">
        <v>0</v>
      </c>
      <c r="H23" s="14">
        <v>8</v>
      </c>
      <c r="I23" s="14">
        <v>1</v>
      </c>
      <c r="J23" s="14"/>
    </row>
    <row r="24" spans="1:10" x14ac:dyDescent="0.35">
      <c r="A24" s="14" t="s">
        <v>428</v>
      </c>
      <c r="B24" s="14" t="s">
        <v>429</v>
      </c>
      <c r="C24" s="14" t="s">
        <v>405</v>
      </c>
      <c r="D24" s="14" t="s">
        <v>427</v>
      </c>
      <c r="E24" s="14">
        <v>503</v>
      </c>
      <c r="F24" s="14">
        <v>6</v>
      </c>
      <c r="G24" s="14">
        <v>0</v>
      </c>
      <c r="H24" s="14">
        <v>360</v>
      </c>
      <c r="I24" s="14">
        <v>0</v>
      </c>
      <c r="J24" s="14"/>
    </row>
    <row r="25" spans="1:10" x14ac:dyDescent="0.35">
      <c r="A25" s="14" t="s">
        <v>428</v>
      </c>
      <c r="B25" s="14" t="s">
        <v>430</v>
      </c>
      <c r="C25" s="14" t="s">
        <v>405</v>
      </c>
      <c r="D25" s="14" t="s">
        <v>399</v>
      </c>
      <c r="E25" s="14">
        <v>645</v>
      </c>
      <c r="F25" s="14">
        <v>0</v>
      </c>
      <c r="G25" s="14">
        <v>0</v>
      </c>
      <c r="H25" s="14">
        <v>42</v>
      </c>
      <c r="I25" s="14">
        <v>344</v>
      </c>
      <c r="J25" s="14" t="s">
        <v>402</v>
      </c>
    </row>
    <row r="26" spans="1:10" x14ac:dyDescent="0.35">
      <c r="A26" s="14" t="s">
        <v>428</v>
      </c>
      <c r="B26" s="14" t="s">
        <v>431</v>
      </c>
      <c r="C26" s="14" t="s">
        <v>398</v>
      </c>
      <c r="D26" s="14" t="s">
        <v>399</v>
      </c>
      <c r="E26" s="14">
        <v>394</v>
      </c>
      <c r="F26" s="14">
        <v>0</v>
      </c>
      <c r="G26" s="14">
        <v>0</v>
      </c>
      <c r="H26" s="14">
        <v>371</v>
      </c>
      <c r="I26" s="14">
        <v>0</v>
      </c>
      <c r="J26" s="14"/>
    </row>
    <row r="27" spans="1:10" x14ac:dyDescent="0.35">
      <c r="A27" s="14" t="s">
        <v>428</v>
      </c>
      <c r="B27" s="14" t="s">
        <v>432</v>
      </c>
      <c r="C27" s="14" t="s">
        <v>426</v>
      </c>
      <c r="D27" s="14" t="s">
        <v>427</v>
      </c>
      <c r="E27" s="14">
        <v>187</v>
      </c>
      <c r="F27" s="14">
        <v>69</v>
      </c>
      <c r="G27" s="14">
        <v>0</v>
      </c>
      <c r="H27" s="14">
        <v>1</v>
      </c>
      <c r="I27" s="14">
        <v>0</v>
      </c>
      <c r="J27" s="14"/>
    </row>
    <row r="28" spans="1:10" x14ac:dyDescent="0.35">
      <c r="A28" s="14" t="s">
        <v>428</v>
      </c>
      <c r="B28" s="14" t="s">
        <v>433</v>
      </c>
      <c r="C28" s="14" t="s">
        <v>410</v>
      </c>
      <c r="D28" s="14" t="s">
        <v>399</v>
      </c>
      <c r="E28" s="14">
        <v>916</v>
      </c>
      <c r="F28" s="14">
        <v>0</v>
      </c>
      <c r="G28" s="14">
        <v>0</v>
      </c>
      <c r="H28" s="14">
        <v>305</v>
      </c>
      <c r="I28" s="14">
        <v>6</v>
      </c>
      <c r="J28" s="14"/>
    </row>
    <row r="29" spans="1:10" x14ac:dyDescent="0.35">
      <c r="A29" s="14" t="s">
        <v>428</v>
      </c>
      <c r="B29" s="14" t="s">
        <v>434</v>
      </c>
      <c r="C29" s="14" t="s">
        <v>407</v>
      </c>
      <c r="D29" s="14" t="s">
        <v>399</v>
      </c>
      <c r="E29" s="14">
        <v>643</v>
      </c>
      <c r="F29" s="14">
        <v>20</v>
      </c>
      <c r="G29" s="14">
        <v>0</v>
      </c>
      <c r="H29" s="14">
        <v>207</v>
      </c>
      <c r="I29" s="14">
        <v>0</v>
      </c>
      <c r="J29" s="14"/>
    </row>
    <row r="30" spans="1:10" x14ac:dyDescent="0.35">
      <c r="A30" s="14" t="s">
        <v>428</v>
      </c>
      <c r="B30" s="14" t="s">
        <v>435</v>
      </c>
      <c r="C30" s="14" t="s">
        <v>398</v>
      </c>
      <c r="D30" s="14" t="s">
        <v>399</v>
      </c>
      <c r="E30" s="14">
        <v>207</v>
      </c>
      <c r="F30" s="14">
        <v>35</v>
      </c>
      <c r="G30" s="14">
        <v>0</v>
      </c>
      <c r="H30" s="14">
        <v>101</v>
      </c>
      <c r="I30" s="14">
        <v>0</v>
      </c>
      <c r="J30" s="14"/>
    </row>
    <row r="31" spans="1:10" x14ac:dyDescent="0.35">
      <c r="A31" s="14" t="s">
        <v>428</v>
      </c>
      <c r="B31" s="14" t="s">
        <v>436</v>
      </c>
      <c r="C31" s="14" t="s">
        <v>398</v>
      </c>
      <c r="D31" s="14" t="s">
        <v>399</v>
      </c>
      <c r="E31" s="14">
        <v>373</v>
      </c>
      <c r="F31" s="14">
        <v>31</v>
      </c>
      <c r="G31" s="14">
        <v>0</v>
      </c>
      <c r="H31" s="14">
        <v>96</v>
      </c>
      <c r="I31" s="14">
        <v>0</v>
      </c>
      <c r="J31" s="14"/>
    </row>
    <row r="32" spans="1:10" x14ac:dyDescent="0.35">
      <c r="A32" s="14" t="s">
        <v>428</v>
      </c>
      <c r="B32" s="14" t="s">
        <v>437</v>
      </c>
      <c r="C32" s="14" t="s">
        <v>407</v>
      </c>
      <c r="D32" s="14" t="s">
        <v>399</v>
      </c>
      <c r="E32" s="14">
        <v>1016</v>
      </c>
      <c r="F32" s="14">
        <v>0</v>
      </c>
      <c r="G32" s="14">
        <v>0</v>
      </c>
      <c r="H32" s="14">
        <v>235</v>
      </c>
      <c r="I32" s="14">
        <v>0</v>
      </c>
      <c r="J32" s="14"/>
    </row>
    <row r="33" spans="1:10" x14ac:dyDescent="0.35">
      <c r="A33" s="14" t="s">
        <v>428</v>
      </c>
      <c r="B33" s="14" t="s">
        <v>438</v>
      </c>
      <c r="C33" s="14" t="s">
        <v>398</v>
      </c>
      <c r="D33" s="14" t="s">
        <v>399</v>
      </c>
      <c r="E33" s="14">
        <v>319</v>
      </c>
      <c r="F33" s="14">
        <v>26</v>
      </c>
      <c r="G33" s="14">
        <v>1</v>
      </c>
      <c r="H33" s="14">
        <v>79</v>
      </c>
      <c r="I33" s="14">
        <v>0</v>
      </c>
      <c r="J33" s="14"/>
    </row>
    <row r="34" spans="1:10" x14ac:dyDescent="0.35">
      <c r="A34" s="14" t="s">
        <v>428</v>
      </c>
      <c r="B34" s="14" t="s">
        <v>439</v>
      </c>
      <c r="C34" s="14" t="s">
        <v>407</v>
      </c>
      <c r="D34" s="14" t="s">
        <v>399</v>
      </c>
      <c r="E34" s="14">
        <v>448</v>
      </c>
      <c r="F34" s="14">
        <v>2</v>
      </c>
      <c r="G34" s="14">
        <v>2</v>
      </c>
      <c r="H34" s="14">
        <v>75</v>
      </c>
      <c r="I34" s="14">
        <v>13</v>
      </c>
      <c r="J34" s="14"/>
    </row>
    <row r="35" spans="1:10" x14ac:dyDescent="0.35">
      <c r="A35" s="14" t="s">
        <v>428</v>
      </c>
      <c r="B35" s="14" t="s">
        <v>440</v>
      </c>
      <c r="C35" s="14" t="s">
        <v>410</v>
      </c>
      <c r="D35" s="14" t="s">
        <v>399</v>
      </c>
      <c r="E35" s="14">
        <v>460</v>
      </c>
      <c r="F35" s="14">
        <v>5</v>
      </c>
      <c r="G35" s="14">
        <v>0</v>
      </c>
      <c r="H35" s="14">
        <v>94</v>
      </c>
      <c r="I35" s="14">
        <v>76</v>
      </c>
      <c r="J35" s="14"/>
    </row>
    <row r="36" spans="1:10" x14ac:dyDescent="0.35">
      <c r="A36" s="14" t="s">
        <v>428</v>
      </c>
      <c r="B36" s="14" t="s">
        <v>441</v>
      </c>
      <c r="C36" s="14" t="s">
        <v>407</v>
      </c>
      <c r="D36" s="14" t="s">
        <v>399</v>
      </c>
      <c r="E36" s="14">
        <v>2534</v>
      </c>
      <c r="F36" s="14">
        <v>1</v>
      </c>
      <c r="G36" s="14">
        <v>0</v>
      </c>
      <c r="H36" s="14">
        <v>181</v>
      </c>
      <c r="I36" s="14">
        <v>1</v>
      </c>
      <c r="J36" s="14"/>
    </row>
    <row r="37" spans="1:10" x14ac:dyDescent="0.35">
      <c r="A37" s="14" t="s">
        <v>428</v>
      </c>
      <c r="B37" s="14" t="s">
        <v>442</v>
      </c>
      <c r="C37" s="14" t="s">
        <v>398</v>
      </c>
      <c r="D37" s="14" t="s">
        <v>399</v>
      </c>
      <c r="E37" s="14">
        <v>207</v>
      </c>
      <c r="F37" s="14">
        <v>0</v>
      </c>
      <c r="G37" s="14">
        <v>0</v>
      </c>
      <c r="H37" s="14">
        <v>176</v>
      </c>
      <c r="I37" s="14">
        <v>0</v>
      </c>
      <c r="J37" s="14"/>
    </row>
    <row r="38" spans="1:10" x14ac:dyDescent="0.35">
      <c r="A38" s="14" t="s">
        <v>428</v>
      </c>
      <c r="B38" s="14" t="s">
        <v>443</v>
      </c>
      <c r="C38" s="14" t="s">
        <v>407</v>
      </c>
      <c r="D38" s="14" t="s">
        <v>399</v>
      </c>
      <c r="E38" s="14">
        <v>159</v>
      </c>
      <c r="F38" s="14">
        <v>16</v>
      </c>
      <c r="G38" s="14">
        <v>0</v>
      </c>
      <c r="H38" s="14">
        <v>95</v>
      </c>
      <c r="I38" s="14">
        <v>0</v>
      </c>
      <c r="J38" s="14"/>
    </row>
    <row r="39" spans="1:10" x14ac:dyDescent="0.35">
      <c r="A39" s="14" t="s">
        <v>428</v>
      </c>
      <c r="B39" s="14" t="s">
        <v>444</v>
      </c>
      <c r="C39" s="14" t="s">
        <v>410</v>
      </c>
      <c r="D39" s="14" t="s">
        <v>399</v>
      </c>
      <c r="E39" s="14">
        <v>444</v>
      </c>
      <c r="F39" s="14">
        <v>4</v>
      </c>
      <c r="G39" s="14">
        <v>0</v>
      </c>
      <c r="H39" s="14">
        <v>134</v>
      </c>
      <c r="I39" s="14">
        <v>1</v>
      </c>
      <c r="J39" s="14"/>
    </row>
    <row r="40" spans="1:10" x14ac:dyDescent="0.35">
      <c r="A40" s="14" t="s">
        <v>428</v>
      </c>
      <c r="B40" s="14" t="s">
        <v>445</v>
      </c>
      <c r="C40" s="14" t="s">
        <v>405</v>
      </c>
      <c r="D40" s="14" t="s">
        <v>399</v>
      </c>
      <c r="E40" s="14">
        <v>1380</v>
      </c>
      <c r="F40" s="14">
        <v>3</v>
      </c>
      <c r="G40" s="14">
        <v>0</v>
      </c>
      <c r="H40" s="14">
        <v>141</v>
      </c>
      <c r="I40" s="14">
        <v>2</v>
      </c>
      <c r="J40" s="14"/>
    </row>
    <row r="41" spans="1:10" x14ac:dyDescent="0.35">
      <c r="A41" s="14" t="s">
        <v>428</v>
      </c>
      <c r="B41" s="14" t="s">
        <v>446</v>
      </c>
      <c r="C41" s="14" t="s">
        <v>405</v>
      </c>
      <c r="D41" s="14" t="s">
        <v>399</v>
      </c>
      <c r="E41" s="14">
        <v>213</v>
      </c>
      <c r="F41" s="14">
        <v>1</v>
      </c>
      <c r="G41" s="14">
        <v>0</v>
      </c>
      <c r="H41" s="14">
        <v>81</v>
      </c>
      <c r="I41" s="14">
        <v>72</v>
      </c>
      <c r="J41" s="14"/>
    </row>
    <row r="42" spans="1:10" x14ac:dyDescent="0.35">
      <c r="A42" s="14" t="s">
        <v>428</v>
      </c>
      <c r="B42" s="14" t="s">
        <v>447</v>
      </c>
      <c r="C42" s="14" t="s">
        <v>410</v>
      </c>
      <c r="D42" s="14" t="s">
        <v>399</v>
      </c>
      <c r="E42" s="14">
        <v>328</v>
      </c>
      <c r="F42" s="14">
        <v>5</v>
      </c>
      <c r="G42" s="14">
        <v>0</v>
      </c>
      <c r="H42" s="14">
        <v>123</v>
      </c>
      <c r="I42" s="14">
        <v>0</v>
      </c>
      <c r="J42" s="14"/>
    </row>
    <row r="43" spans="1:10" x14ac:dyDescent="0.35">
      <c r="A43" s="14" t="s">
        <v>428</v>
      </c>
      <c r="B43" s="14" t="s">
        <v>448</v>
      </c>
      <c r="C43" s="14" t="s">
        <v>405</v>
      </c>
      <c r="D43" s="14" t="s">
        <v>427</v>
      </c>
      <c r="E43" s="14">
        <v>245</v>
      </c>
      <c r="F43" s="14">
        <v>18</v>
      </c>
      <c r="G43" s="14">
        <v>0</v>
      </c>
      <c r="H43" s="14">
        <v>54</v>
      </c>
      <c r="I43" s="14">
        <v>0</v>
      </c>
      <c r="J43" s="14"/>
    </row>
    <row r="44" spans="1:10" x14ac:dyDescent="0.35">
      <c r="A44" s="14" t="s">
        <v>428</v>
      </c>
      <c r="B44" s="14" t="s">
        <v>449</v>
      </c>
      <c r="C44" s="14" t="s">
        <v>410</v>
      </c>
      <c r="D44" s="14" t="s">
        <v>399</v>
      </c>
      <c r="E44" s="14">
        <v>695</v>
      </c>
      <c r="F44" s="14">
        <v>0</v>
      </c>
      <c r="G44" s="14">
        <v>0</v>
      </c>
      <c r="H44" s="14">
        <v>116</v>
      </c>
      <c r="I44" s="14">
        <v>0</v>
      </c>
      <c r="J44" s="14"/>
    </row>
    <row r="45" spans="1:10" x14ac:dyDescent="0.35">
      <c r="A45" s="14" t="s">
        <v>428</v>
      </c>
      <c r="B45" s="14" t="s">
        <v>450</v>
      </c>
      <c r="C45" s="14" t="s">
        <v>405</v>
      </c>
      <c r="D45" s="14" t="s">
        <v>399</v>
      </c>
      <c r="E45" s="14">
        <v>228</v>
      </c>
      <c r="F45" s="14">
        <v>0</v>
      </c>
      <c r="G45" s="14">
        <v>0</v>
      </c>
      <c r="H45" s="14">
        <v>89</v>
      </c>
      <c r="I45" s="14">
        <v>0</v>
      </c>
      <c r="J45" s="14"/>
    </row>
    <row r="46" spans="1:10" x14ac:dyDescent="0.35">
      <c r="A46" s="14" t="s">
        <v>428</v>
      </c>
      <c r="B46" s="14" t="s">
        <v>451</v>
      </c>
      <c r="C46" s="14" t="s">
        <v>398</v>
      </c>
      <c r="D46" s="14" t="s">
        <v>399</v>
      </c>
      <c r="E46" s="14">
        <v>819</v>
      </c>
      <c r="F46" s="14">
        <v>0</v>
      </c>
      <c r="G46" s="14">
        <v>0</v>
      </c>
      <c r="H46" s="14">
        <v>100</v>
      </c>
      <c r="I46" s="14">
        <v>0</v>
      </c>
      <c r="J46" s="14"/>
    </row>
    <row r="47" spans="1:10" x14ac:dyDescent="0.35">
      <c r="A47" s="14" t="s">
        <v>428</v>
      </c>
      <c r="B47" s="14" t="s">
        <v>452</v>
      </c>
      <c r="C47" s="14" t="s">
        <v>401</v>
      </c>
      <c r="D47" s="14" t="s">
        <v>399</v>
      </c>
      <c r="E47" s="14">
        <v>157</v>
      </c>
      <c r="F47" s="14">
        <v>0</v>
      </c>
      <c r="G47" s="14">
        <v>0</v>
      </c>
      <c r="H47" s="14">
        <v>99</v>
      </c>
      <c r="I47" s="14">
        <v>0</v>
      </c>
      <c r="J47" s="14"/>
    </row>
    <row r="48" spans="1:10" x14ac:dyDescent="0.35">
      <c r="A48" s="14" t="s">
        <v>428</v>
      </c>
      <c r="B48" s="14" t="s">
        <v>453</v>
      </c>
      <c r="C48" s="14" t="s">
        <v>398</v>
      </c>
      <c r="D48" s="14" t="s">
        <v>399</v>
      </c>
      <c r="E48" s="14">
        <v>190</v>
      </c>
      <c r="F48" s="14">
        <v>1</v>
      </c>
      <c r="G48" s="14">
        <v>0</v>
      </c>
      <c r="H48" s="14">
        <v>94</v>
      </c>
      <c r="I48" s="14">
        <v>0</v>
      </c>
      <c r="J48" s="14"/>
    </row>
    <row r="49" spans="1:10" x14ac:dyDescent="0.35">
      <c r="A49" s="14" t="s">
        <v>428</v>
      </c>
      <c r="B49" s="14" t="s">
        <v>454</v>
      </c>
      <c r="C49" s="14" t="s">
        <v>410</v>
      </c>
      <c r="D49" s="14" t="s">
        <v>399</v>
      </c>
      <c r="E49" s="14">
        <v>254</v>
      </c>
      <c r="F49" s="14">
        <v>0</v>
      </c>
      <c r="G49" s="14">
        <v>1</v>
      </c>
      <c r="H49" s="14">
        <v>91</v>
      </c>
      <c r="I49" s="14">
        <v>0</v>
      </c>
      <c r="J49" s="14"/>
    </row>
    <row r="50" spans="1:10" x14ac:dyDescent="0.35">
      <c r="A50" s="14" t="s">
        <v>428</v>
      </c>
      <c r="B50" s="14" t="s">
        <v>455</v>
      </c>
      <c r="C50" s="14" t="s">
        <v>407</v>
      </c>
      <c r="D50" s="14" t="s">
        <v>399</v>
      </c>
      <c r="E50" s="14">
        <v>340</v>
      </c>
      <c r="F50" s="14">
        <v>0</v>
      </c>
      <c r="G50" s="14">
        <v>0</v>
      </c>
      <c r="H50" s="14">
        <v>94</v>
      </c>
      <c r="I50" s="14">
        <v>1</v>
      </c>
      <c r="J50" s="14"/>
    </row>
    <row r="51" spans="1:10" x14ac:dyDescent="0.35">
      <c r="A51" s="14" t="s">
        <v>428</v>
      </c>
      <c r="B51" s="14" t="s">
        <v>456</v>
      </c>
      <c r="C51" s="14" t="s">
        <v>398</v>
      </c>
      <c r="D51" s="14" t="s">
        <v>399</v>
      </c>
      <c r="E51" s="14">
        <v>277</v>
      </c>
      <c r="F51" s="14">
        <v>0</v>
      </c>
      <c r="G51" s="14">
        <v>0</v>
      </c>
      <c r="H51" s="14">
        <v>93</v>
      </c>
      <c r="I51" s="14">
        <v>0</v>
      </c>
      <c r="J51" s="14"/>
    </row>
    <row r="52" spans="1:10" x14ac:dyDescent="0.35">
      <c r="A52" s="14" t="s">
        <v>428</v>
      </c>
      <c r="B52" s="14" t="s">
        <v>457</v>
      </c>
      <c r="C52" s="14" t="s">
        <v>405</v>
      </c>
      <c r="D52" s="14" t="s">
        <v>399</v>
      </c>
      <c r="E52" s="14">
        <v>81</v>
      </c>
      <c r="F52" s="14">
        <v>6</v>
      </c>
      <c r="G52" s="14">
        <v>1</v>
      </c>
      <c r="H52" s="14">
        <v>57</v>
      </c>
      <c r="I52" s="14">
        <v>0</v>
      </c>
      <c r="J52" s="14"/>
    </row>
    <row r="53" spans="1:10" x14ac:dyDescent="0.35">
      <c r="A53" s="14" t="s">
        <v>428</v>
      </c>
      <c r="B53" s="14" t="s">
        <v>458</v>
      </c>
      <c r="C53" s="14" t="s">
        <v>407</v>
      </c>
      <c r="D53" s="14" t="s">
        <v>399</v>
      </c>
      <c r="E53" s="14">
        <v>200</v>
      </c>
      <c r="F53" s="14">
        <v>2</v>
      </c>
      <c r="G53" s="14">
        <v>0</v>
      </c>
      <c r="H53" s="14">
        <v>80</v>
      </c>
      <c r="I53" s="14">
        <v>1</v>
      </c>
      <c r="J53" s="14"/>
    </row>
    <row r="54" spans="1:10" x14ac:dyDescent="0.35">
      <c r="A54" s="14" t="s">
        <v>428</v>
      </c>
      <c r="B54" s="14" t="s">
        <v>459</v>
      </c>
      <c r="C54" s="14" t="s">
        <v>401</v>
      </c>
      <c r="D54" s="14" t="s">
        <v>399</v>
      </c>
      <c r="E54" s="14">
        <v>11732</v>
      </c>
      <c r="F54" s="14">
        <v>0</v>
      </c>
      <c r="G54" s="14">
        <v>16</v>
      </c>
      <c r="H54" s="14">
        <v>21</v>
      </c>
      <c r="I54" s="14">
        <v>0</v>
      </c>
      <c r="J54" s="14"/>
    </row>
    <row r="55" spans="1:10" x14ac:dyDescent="0.35">
      <c r="A55" s="14" t="s">
        <v>428</v>
      </c>
      <c r="B55" s="14" t="s">
        <v>460</v>
      </c>
      <c r="C55" s="14" t="s">
        <v>407</v>
      </c>
      <c r="D55" s="14" t="s">
        <v>399</v>
      </c>
      <c r="E55" s="14">
        <v>231</v>
      </c>
      <c r="F55" s="14">
        <v>1</v>
      </c>
      <c r="G55" s="14">
        <v>2</v>
      </c>
      <c r="H55" s="14">
        <v>67</v>
      </c>
      <c r="I55" s="14">
        <v>1</v>
      </c>
      <c r="J55" s="14"/>
    </row>
    <row r="56" spans="1:10" x14ac:dyDescent="0.35">
      <c r="A56" s="14" t="s">
        <v>428</v>
      </c>
      <c r="B56" s="14" t="s">
        <v>461</v>
      </c>
      <c r="C56" s="14" t="s">
        <v>405</v>
      </c>
      <c r="D56" s="14" t="s">
        <v>399</v>
      </c>
      <c r="E56" s="14">
        <v>170</v>
      </c>
      <c r="F56" s="14">
        <v>3</v>
      </c>
      <c r="G56" s="14">
        <v>0</v>
      </c>
      <c r="H56" s="14">
        <v>53</v>
      </c>
      <c r="I56" s="14">
        <v>0</v>
      </c>
      <c r="J56" s="14"/>
    </row>
    <row r="57" spans="1:10" x14ac:dyDescent="0.35">
      <c r="A57" s="14" t="s">
        <v>428</v>
      </c>
      <c r="B57" s="14" t="s">
        <v>462</v>
      </c>
      <c r="C57" s="14" t="s">
        <v>398</v>
      </c>
      <c r="D57" s="14" t="s">
        <v>463</v>
      </c>
      <c r="E57" s="14">
        <v>70</v>
      </c>
      <c r="F57" s="14">
        <v>0</v>
      </c>
      <c r="G57" s="14">
        <v>0</v>
      </c>
      <c r="H57" s="14">
        <v>5</v>
      </c>
      <c r="I57" s="14">
        <v>57</v>
      </c>
      <c r="J57" s="14" t="s">
        <v>402</v>
      </c>
    </row>
    <row r="58" spans="1:10" x14ac:dyDescent="0.35">
      <c r="A58" s="14" t="s">
        <v>428</v>
      </c>
      <c r="B58" s="14" t="s">
        <v>464</v>
      </c>
      <c r="C58" s="14" t="s">
        <v>398</v>
      </c>
      <c r="D58" s="14" t="s">
        <v>399</v>
      </c>
      <c r="E58" s="14">
        <v>70</v>
      </c>
      <c r="F58" s="14">
        <v>0</v>
      </c>
      <c r="G58" s="14">
        <v>0</v>
      </c>
      <c r="H58" s="14">
        <v>5</v>
      </c>
      <c r="I58" s="14">
        <v>57</v>
      </c>
      <c r="J58" s="14" t="s">
        <v>402</v>
      </c>
    </row>
    <row r="59" spans="1:10" x14ac:dyDescent="0.35">
      <c r="A59" s="14" t="s">
        <v>428</v>
      </c>
      <c r="B59" s="14" t="s">
        <v>465</v>
      </c>
      <c r="C59" s="14" t="s">
        <v>398</v>
      </c>
      <c r="D59" s="14" t="s">
        <v>399</v>
      </c>
      <c r="E59" s="14">
        <v>349</v>
      </c>
      <c r="F59" s="14">
        <v>2</v>
      </c>
      <c r="G59" s="14">
        <v>0</v>
      </c>
      <c r="H59" s="14">
        <v>49</v>
      </c>
      <c r="I59" s="14">
        <v>0</v>
      </c>
      <c r="J59" s="14"/>
    </row>
    <row r="60" spans="1:10" x14ac:dyDescent="0.35">
      <c r="A60" s="14" t="s">
        <v>428</v>
      </c>
      <c r="B60" s="14" t="s">
        <v>466</v>
      </c>
      <c r="C60" s="14" t="s">
        <v>410</v>
      </c>
      <c r="D60" s="14" t="s">
        <v>399</v>
      </c>
      <c r="E60" s="14">
        <v>126</v>
      </c>
      <c r="F60" s="14">
        <v>0</v>
      </c>
      <c r="G60" s="14">
        <v>0</v>
      </c>
      <c r="H60" s="14">
        <v>58</v>
      </c>
      <c r="I60" s="14">
        <v>0</v>
      </c>
      <c r="J60" s="14"/>
    </row>
    <row r="61" spans="1:10" x14ac:dyDescent="0.35">
      <c r="A61" s="14" t="s">
        <v>428</v>
      </c>
      <c r="B61" s="14" t="s">
        <v>467</v>
      </c>
      <c r="C61" s="14" t="s">
        <v>401</v>
      </c>
      <c r="D61" s="14" t="s">
        <v>399</v>
      </c>
      <c r="E61" s="14">
        <v>537</v>
      </c>
      <c r="F61" s="14">
        <v>0</v>
      </c>
      <c r="G61" s="14">
        <v>0</v>
      </c>
      <c r="H61" s="14">
        <v>57</v>
      </c>
      <c r="I61" s="14">
        <v>0</v>
      </c>
      <c r="J61" s="14"/>
    </row>
    <row r="62" spans="1:10" x14ac:dyDescent="0.35">
      <c r="A62" s="14" t="s">
        <v>428</v>
      </c>
      <c r="B62" s="14" t="s">
        <v>468</v>
      </c>
      <c r="C62" s="14" t="s">
        <v>407</v>
      </c>
      <c r="D62" s="14" t="s">
        <v>399</v>
      </c>
      <c r="E62" s="14">
        <v>260</v>
      </c>
      <c r="F62" s="14">
        <v>0</v>
      </c>
      <c r="G62" s="14">
        <v>0</v>
      </c>
      <c r="H62" s="14">
        <v>19</v>
      </c>
      <c r="I62" s="14">
        <v>0</v>
      </c>
      <c r="J62" s="14"/>
    </row>
    <row r="63" spans="1:10" x14ac:dyDescent="0.35">
      <c r="A63" s="14" t="s">
        <v>428</v>
      </c>
      <c r="B63" s="14" t="s">
        <v>469</v>
      </c>
      <c r="C63" s="14" t="s">
        <v>421</v>
      </c>
      <c r="D63" s="14" t="s">
        <v>399</v>
      </c>
      <c r="E63" s="14">
        <v>71</v>
      </c>
      <c r="F63" s="14">
        <v>0</v>
      </c>
      <c r="G63" s="14">
        <v>0</v>
      </c>
      <c r="H63" s="14">
        <v>55</v>
      </c>
      <c r="I63" s="14">
        <v>0</v>
      </c>
      <c r="J63" s="14"/>
    </row>
    <row r="64" spans="1:10" x14ac:dyDescent="0.35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spans="1:10" x14ac:dyDescent="0.35">
      <c r="A65" s="14" t="s">
        <v>470</v>
      </c>
      <c r="B65" s="14" t="s">
        <v>471</v>
      </c>
      <c r="C65" s="14" t="s">
        <v>294</v>
      </c>
      <c r="D65" s="14" t="s">
        <v>399</v>
      </c>
      <c r="E65" s="14">
        <v>62886</v>
      </c>
      <c r="F65" s="14"/>
      <c r="G65" s="14"/>
      <c r="H65" s="14"/>
      <c r="I65" s="14"/>
      <c r="J65" s="14" t="s">
        <v>472</v>
      </c>
    </row>
    <row r="66" spans="1:10" x14ac:dyDescent="0.35">
      <c r="A66" s="14" t="s">
        <v>473</v>
      </c>
      <c r="B66" s="14" t="s">
        <v>474</v>
      </c>
      <c r="C66" s="14" t="s">
        <v>294</v>
      </c>
      <c r="D66" s="14" t="s">
        <v>475</v>
      </c>
      <c r="E66" s="14">
        <v>26720</v>
      </c>
      <c r="F66" s="14"/>
      <c r="G66" s="14"/>
      <c r="H66" s="14"/>
      <c r="I66" s="14"/>
      <c r="J66" s="14" t="s">
        <v>476</v>
      </c>
    </row>
    <row r="67" spans="1:10" x14ac:dyDescent="0.35">
      <c r="A67" s="14" t="s">
        <v>294</v>
      </c>
      <c r="B67" s="14" t="s">
        <v>477</v>
      </c>
      <c r="C67" s="14" t="s">
        <v>478</v>
      </c>
      <c r="D67" s="14" t="s">
        <v>399</v>
      </c>
      <c r="E67" s="14">
        <v>8487</v>
      </c>
      <c r="F67" s="14"/>
      <c r="G67" s="14"/>
      <c r="H67" s="14"/>
      <c r="I67" s="14"/>
      <c r="J67" s="14" t="s">
        <v>479</v>
      </c>
    </row>
    <row r="68" spans="1:10" x14ac:dyDescent="0.35">
      <c r="A68" s="14" t="s">
        <v>294</v>
      </c>
      <c r="B68" s="14" t="s">
        <v>480</v>
      </c>
      <c r="C68" s="14" t="s">
        <v>294</v>
      </c>
      <c r="D68" s="14" t="s">
        <v>427</v>
      </c>
      <c r="E68" s="14" t="s">
        <v>481</v>
      </c>
      <c r="F68" s="14"/>
      <c r="G68" s="14"/>
      <c r="H68" s="14"/>
      <c r="I68" s="14"/>
      <c r="J68" s="14" t="s">
        <v>482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zoomScaleNormal="100" workbookViewId="0"/>
  </sheetViews>
  <sheetFormatPr defaultColWidth="8.6328125" defaultRowHeight="14.5" x14ac:dyDescent="0.35"/>
  <cols>
    <col min="1" max="1" width="26" customWidth="1"/>
    <col min="2" max="2" width="20" customWidth="1"/>
    <col min="3" max="3" width="30" customWidth="1"/>
    <col min="4" max="4" width="14" customWidth="1"/>
    <col min="5" max="5" width="40" customWidth="1"/>
    <col min="6" max="6" width="48" customWidth="1"/>
    <col min="7" max="7" width="42" customWidth="1"/>
  </cols>
  <sheetData>
    <row r="1" spans="1:7" ht="15" customHeight="1" x14ac:dyDescent="0.35">
      <c r="A1" s="16" t="s">
        <v>483</v>
      </c>
      <c r="B1" s="16" t="s">
        <v>484</v>
      </c>
      <c r="C1" s="16" t="s">
        <v>485</v>
      </c>
      <c r="D1" s="16" t="s">
        <v>486</v>
      </c>
      <c r="E1" s="16" t="s">
        <v>487</v>
      </c>
      <c r="F1" s="16" t="s">
        <v>488</v>
      </c>
      <c r="G1" s="16" t="s">
        <v>489</v>
      </c>
    </row>
    <row r="2" spans="1:7" ht="34.5" customHeight="1" x14ac:dyDescent="0.35">
      <c r="A2" s="17" t="s">
        <v>490</v>
      </c>
      <c r="B2" s="17" t="s">
        <v>491</v>
      </c>
      <c r="C2" s="17" t="s">
        <v>492</v>
      </c>
      <c r="D2" s="17" t="s">
        <v>493</v>
      </c>
      <c r="E2" s="17" t="s">
        <v>494</v>
      </c>
      <c r="F2" s="17" t="s">
        <v>495</v>
      </c>
      <c r="G2" s="17" t="s">
        <v>496</v>
      </c>
    </row>
    <row r="3" spans="1:7" ht="15" customHeight="1" x14ac:dyDescent="0.35">
      <c r="A3" s="17" t="s">
        <v>497</v>
      </c>
      <c r="B3" s="17" t="s">
        <v>498</v>
      </c>
      <c r="C3" s="17" t="s">
        <v>499</v>
      </c>
      <c r="D3" s="17" t="s">
        <v>493</v>
      </c>
      <c r="E3" s="17" t="s">
        <v>500</v>
      </c>
      <c r="F3" s="17" t="s">
        <v>294</v>
      </c>
      <c r="G3" s="17" t="s">
        <v>501</v>
      </c>
    </row>
    <row r="4" spans="1:7" ht="23.25" customHeight="1" x14ac:dyDescent="0.35">
      <c r="A4" s="17" t="s">
        <v>502</v>
      </c>
      <c r="B4" s="17" t="s">
        <v>503</v>
      </c>
      <c r="C4" s="17" t="s">
        <v>294</v>
      </c>
      <c r="D4" s="17" t="s">
        <v>493</v>
      </c>
      <c r="E4" s="17" t="s">
        <v>504</v>
      </c>
      <c r="F4" s="17" t="s">
        <v>505</v>
      </c>
      <c r="G4" s="17" t="s">
        <v>506</v>
      </c>
    </row>
    <row r="5" spans="1:7" ht="23.25" customHeight="1" x14ac:dyDescent="0.35">
      <c r="A5" s="17" t="s">
        <v>507</v>
      </c>
      <c r="B5" s="17" t="s">
        <v>498</v>
      </c>
      <c r="C5" s="17" t="s">
        <v>294</v>
      </c>
      <c r="D5" s="17" t="s">
        <v>493</v>
      </c>
      <c r="E5" s="17" t="s">
        <v>508</v>
      </c>
      <c r="F5" s="17" t="s">
        <v>294</v>
      </c>
      <c r="G5" s="17" t="s">
        <v>509</v>
      </c>
    </row>
    <row r="6" spans="1:7" ht="15" customHeight="1" x14ac:dyDescent="0.35">
      <c r="A6" s="17" t="s">
        <v>510</v>
      </c>
      <c r="B6" s="17" t="s">
        <v>511</v>
      </c>
      <c r="C6" s="17" t="s">
        <v>512</v>
      </c>
      <c r="D6" s="17" t="s">
        <v>513</v>
      </c>
      <c r="E6" s="17" t="s">
        <v>514</v>
      </c>
      <c r="F6" s="17" t="s">
        <v>294</v>
      </c>
      <c r="G6" s="17" t="s">
        <v>294</v>
      </c>
    </row>
    <row r="7" spans="1:7" ht="15" customHeight="1" x14ac:dyDescent="0.35">
      <c r="A7" s="17" t="s">
        <v>515</v>
      </c>
      <c r="B7" s="17" t="s">
        <v>516</v>
      </c>
      <c r="C7" s="17" t="s">
        <v>517</v>
      </c>
      <c r="D7" s="17" t="s">
        <v>493</v>
      </c>
      <c r="E7" s="17" t="s">
        <v>518</v>
      </c>
      <c r="F7" s="17" t="s">
        <v>519</v>
      </c>
      <c r="G7" s="17" t="s">
        <v>520</v>
      </c>
    </row>
    <row r="8" spans="1:7" ht="15" customHeight="1" x14ac:dyDescent="0.35">
      <c r="A8" s="17" t="s">
        <v>521</v>
      </c>
      <c r="B8" s="17" t="s">
        <v>498</v>
      </c>
      <c r="C8" s="17" t="s">
        <v>522</v>
      </c>
      <c r="D8" s="17" t="s">
        <v>513</v>
      </c>
      <c r="E8" s="17" t="s">
        <v>523</v>
      </c>
      <c r="F8" s="17" t="s">
        <v>294</v>
      </c>
      <c r="G8" s="17" t="s">
        <v>294</v>
      </c>
    </row>
    <row r="9" spans="1:7" ht="23.25" customHeight="1" x14ac:dyDescent="0.35">
      <c r="A9" s="17" t="s">
        <v>524</v>
      </c>
      <c r="B9" s="17" t="s">
        <v>525</v>
      </c>
      <c r="C9" s="17" t="s">
        <v>294</v>
      </c>
      <c r="D9" s="17" t="s">
        <v>526</v>
      </c>
      <c r="E9" s="17" t="s">
        <v>527</v>
      </c>
      <c r="F9" s="17" t="s">
        <v>528</v>
      </c>
      <c r="G9" s="17" t="s">
        <v>529</v>
      </c>
    </row>
    <row r="10" spans="1:7" ht="34.5" customHeight="1" x14ac:dyDescent="0.35">
      <c r="A10" s="17" t="s">
        <v>530</v>
      </c>
      <c r="B10" s="17" t="s">
        <v>531</v>
      </c>
      <c r="C10" s="17" t="s">
        <v>532</v>
      </c>
      <c r="D10" s="17" t="s">
        <v>533</v>
      </c>
      <c r="E10" s="17" t="s">
        <v>534</v>
      </c>
      <c r="F10" s="17" t="s">
        <v>535</v>
      </c>
      <c r="G10" s="17" t="s">
        <v>536</v>
      </c>
    </row>
    <row r="11" spans="1:7" ht="23.25" customHeight="1" x14ac:dyDescent="0.35">
      <c r="A11" s="17" t="s">
        <v>537</v>
      </c>
      <c r="B11" s="17" t="s">
        <v>498</v>
      </c>
      <c r="C11" s="17" t="s">
        <v>538</v>
      </c>
      <c r="D11" s="17" t="s">
        <v>539</v>
      </c>
      <c r="E11" s="17" t="s">
        <v>540</v>
      </c>
      <c r="F11" s="17" t="s">
        <v>541</v>
      </c>
      <c r="G11" s="17" t="s">
        <v>542</v>
      </c>
    </row>
    <row r="12" spans="1:7" ht="23.25" customHeight="1" x14ac:dyDescent="0.35">
      <c r="A12" s="17" t="s">
        <v>543</v>
      </c>
      <c r="B12" s="17" t="s">
        <v>516</v>
      </c>
      <c r="C12" s="17" t="s">
        <v>544</v>
      </c>
      <c r="D12" s="17" t="s">
        <v>539</v>
      </c>
      <c r="E12" s="17" t="s">
        <v>545</v>
      </c>
      <c r="F12" s="17" t="s">
        <v>546</v>
      </c>
      <c r="G12" s="17" t="s">
        <v>547</v>
      </c>
    </row>
    <row r="13" spans="1:7" ht="23.25" customHeight="1" x14ac:dyDescent="0.35">
      <c r="A13" s="17" t="s">
        <v>548</v>
      </c>
      <c r="B13" s="17" t="s">
        <v>549</v>
      </c>
      <c r="C13" s="17" t="s">
        <v>550</v>
      </c>
      <c r="D13" s="17" t="s">
        <v>539</v>
      </c>
      <c r="E13" s="17" t="s">
        <v>551</v>
      </c>
      <c r="F13" s="17" t="s">
        <v>552</v>
      </c>
      <c r="G13" s="17" t="s">
        <v>553</v>
      </c>
    </row>
    <row r="14" spans="1:7" ht="23.25" customHeight="1" x14ac:dyDescent="0.35">
      <c r="A14" s="17" t="s">
        <v>554</v>
      </c>
      <c r="B14" s="17" t="s">
        <v>516</v>
      </c>
      <c r="C14" s="17" t="s">
        <v>555</v>
      </c>
      <c r="D14" s="17" t="s">
        <v>539</v>
      </c>
      <c r="E14" s="17" t="s">
        <v>556</v>
      </c>
      <c r="F14" s="17" t="s">
        <v>557</v>
      </c>
      <c r="G14" s="17" t="s">
        <v>558</v>
      </c>
    </row>
    <row r="15" spans="1:7" ht="15" customHeight="1" x14ac:dyDescent="0.35">
      <c r="A15" s="17" t="s">
        <v>559</v>
      </c>
      <c r="B15" s="17" t="s">
        <v>498</v>
      </c>
      <c r="C15" s="17" t="s">
        <v>294</v>
      </c>
      <c r="D15" s="17" t="s">
        <v>539</v>
      </c>
      <c r="E15" s="17" t="s">
        <v>560</v>
      </c>
      <c r="F15" s="17" t="s">
        <v>561</v>
      </c>
      <c r="G15" s="17" t="s">
        <v>562</v>
      </c>
    </row>
    <row r="16" spans="1:7" ht="15" customHeight="1" x14ac:dyDescent="0.35">
      <c r="A16" s="17" t="s">
        <v>563</v>
      </c>
      <c r="B16" s="17" t="s">
        <v>498</v>
      </c>
      <c r="C16" s="17" t="s">
        <v>564</v>
      </c>
      <c r="D16" s="17" t="s">
        <v>565</v>
      </c>
      <c r="E16" s="17" t="s">
        <v>566</v>
      </c>
      <c r="F16" s="17" t="s">
        <v>528</v>
      </c>
      <c r="G16" s="17" t="s">
        <v>567</v>
      </c>
    </row>
    <row r="17" spans="1:7" ht="15" customHeight="1" x14ac:dyDescent="0.35">
      <c r="A17" s="17" t="s">
        <v>568</v>
      </c>
      <c r="B17" s="17" t="s">
        <v>498</v>
      </c>
      <c r="C17" s="17" t="s">
        <v>294</v>
      </c>
      <c r="D17" s="17" t="s">
        <v>565</v>
      </c>
      <c r="E17" s="17" t="s">
        <v>569</v>
      </c>
      <c r="F17" s="17" t="s">
        <v>528</v>
      </c>
      <c r="G17" s="17" t="s">
        <v>570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Corpus Plan</vt:lpstr>
      <vt:lpstr>Corpus 12 Jun</vt:lpstr>
      <vt:lpstr>Quango Universe</vt:lpstr>
      <vt:lpstr>Sources 10 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Charles Leach</cp:lastModifiedBy>
  <cp:revision>0</cp:revision>
  <dcterms:created xsi:type="dcterms:W3CDTF">2026-05-29T06:46:31Z</dcterms:created>
  <dcterms:modified xsi:type="dcterms:W3CDTF">2026-06-13T01:31:51Z</dcterms:modified>
  <dc:language>en-US</dc:language>
</cp:coreProperties>
</file>